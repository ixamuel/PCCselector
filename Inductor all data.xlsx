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mue\Downloads\InductorSelector\InductorSelector\"/>
    </mc:Choice>
  </mc:AlternateContent>
  <xr:revisionPtr revIDLastSave="0" documentId="8_{96EAC8E5-3F5D-45EF-81F6-A81804D234D3}" xr6:coauthVersionLast="47" xr6:coauthVersionMax="47" xr10:uidLastSave="{00000000-0000-0000-0000-000000000000}"/>
  <bookViews>
    <workbookView xWindow="-120" yWindow="-120" windowWidth="29040" windowHeight="15720" xr2:uid="{24967AA2-2FE0-45B5-9407-F03CA18FA467}"/>
  </bookViews>
  <sheets>
    <sheet name="All Data" sheetId="1" r:id="rId1"/>
  </sheets>
  <externalReferences>
    <externalReference r:id="rId2"/>
  </externalReferences>
  <definedNames>
    <definedName name="appimg">INDEX([1]Utility!$P:$P,MATCH('[1]DCDC Ref'!$W$21,[1]Utility!$O:$O,0))</definedName>
    <definedName name="boardimg">INDEX([1]Utility!$X:$X,MATCH('[1]DCDC Ref'!$W$21,[1]Utility!$O:$O,0))</definedName>
    <definedName name="L1Round" localSheetId="0">TRUNC(ROUND('All Data'!XFD1,2),2)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J160" i="1" l="1"/>
  <c r="BK160" i="1" s="1"/>
  <c r="BH160" i="1"/>
  <c r="BD160" i="1"/>
  <c r="BE160" i="1" s="1"/>
  <c r="BQ160" i="1" s="1"/>
  <c r="BC160" i="1"/>
  <c r="AU160" i="1"/>
  <c r="AP160" i="1"/>
  <c r="AK160" i="1"/>
  <c r="AH160" i="1"/>
  <c r="AF160" i="1"/>
  <c r="AE160" i="1"/>
  <c r="S160" i="1"/>
  <c r="R160" i="1"/>
  <c r="P160" i="1"/>
  <c r="BH159" i="1"/>
  <c r="BC159" i="1"/>
  <c r="BJ159" i="1" s="1"/>
  <c r="BK159" i="1" s="1"/>
  <c r="AU159" i="1"/>
  <c r="AP159" i="1"/>
  <c r="AK159" i="1"/>
  <c r="AH159" i="1"/>
  <c r="AF159" i="1"/>
  <c r="AE159" i="1"/>
  <c r="S159" i="1"/>
  <c r="R159" i="1"/>
  <c r="P159" i="1"/>
  <c r="BJ158" i="1"/>
  <c r="BK158" i="1" s="1"/>
  <c r="BH158" i="1"/>
  <c r="BD158" i="1"/>
  <c r="BE158" i="1" s="1"/>
  <c r="BQ158" i="1" s="1"/>
  <c r="BC158" i="1"/>
  <c r="AU158" i="1"/>
  <c r="AP158" i="1"/>
  <c r="AK158" i="1"/>
  <c r="AH158" i="1"/>
  <c r="AF158" i="1"/>
  <c r="AE158" i="1"/>
  <c r="S158" i="1"/>
  <c r="R158" i="1"/>
  <c r="P158" i="1"/>
  <c r="BH157" i="1"/>
  <c r="BC157" i="1"/>
  <c r="BJ157" i="1" s="1"/>
  <c r="BK157" i="1" s="1"/>
  <c r="AU157" i="1"/>
  <c r="AP157" i="1"/>
  <c r="AK157" i="1"/>
  <c r="AH157" i="1"/>
  <c r="AF157" i="1"/>
  <c r="AE157" i="1"/>
  <c r="S157" i="1"/>
  <c r="R157" i="1"/>
  <c r="P157" i="1"/>
  <c r="BJ156" i="1"/>
  <c r="BK156" i="1" s="1"/>
  <c r="BH156" i="1"/>
  <c r="BC156" i="1"/>
  <c r="BD156" i="1" s="1"/>
  <c r="BE156" i="1" s="1"/>
  <c r="BQ156" i="1" s="1"/>
  <c r="AU156" i="1"/>
  <c r="AP156" i="1"/>
  <c r="AK156" i="1"/>
  <c r="AH156" i="1"/>
  <c r="AF156" i="1"/>
  <c r="AE156" i="1"/>
  <c r="S156" i="1"/>
  <c r="R156" i="1"/>
  <c r="P156" i="1"/>
  <c r="BH155" i="1"/>
  <c r="BC155" i="1"/>
  <c r="BJ155" i="1" s="1"/>
  <c r="BK155" i="1" s="1"/>
  <c r="AU155" i="1"/>
  <c r="AK155" i="1"/>
  <c r="AH155" i="1"/>
  <c r="AF155" i="1"/>
  <c r="AE155" i="1"/>
  <c r="S155" i="1"/>
  <c r="R155" i="1"/>
  <c r="P155" i="1"/>
  <c r="BK154" i="1"/>
  <c r="BJ154" i="1"/>
  <c r="BH154" i="1"/>
  <c r="BE154" i="1"/>
  <c r="BQ154" i="1" s="1"/>
  <c r="BC154" i="1"/>
  <c r="BD154" i="1" s="1"/>
  <c r="AU154" i="1"/>
  <c r="AK154" i="1"/>
  <c r="AH154" i="1"/>
  <c r="AF154" i="1"/>
  <c r="AE154" i="1"/>
  <c r="S154" i="1"/>
  <c r="R154" i="1"/>
  <c r="P154" i="1"/>
  <c r="BK153" i="1"/>
  <c r="BH153" i="1"/>
  <c r="BD153" i="1"/>
  <c r="BE153" i="1" s="1"/>
  <c r="BC153" i="1"/>
  <c r="BJ153" i="1" s="1"/>
  <c r="AU153" i="1"/>
  <c r="AK153" i="1"/>
  <c r="AH153" i="1"/>
  <c r="AF153" i="1"/>
  <c r="AE153" i="1"/>
  <c r="S153" i="1"/>
  <c r="R153" i="1"/>
  <c r="P153" i="1"/>
  <c r="BJ152" i="1"/>
  <c r="BK152" i="1" s="1"/>
  <c r="BH152" i="1"/>
  <c r="BC152" i="1"/>
  <c r="BD152" i="1" s="1"/>
  <c r="BE152" i="1" s="1"/>
  <c r="AU152" i="1"/>
  <c r="AK152" i="1"/>
  <c r="AH152" i="1"/>
  <c r="AF152" i="1"/>
  <c r="AE152" i="1"/>
  <c r="S152" i="1"/>
  <c r="R152" i="1"/>
  <c r="P152" i="1"/>
  <c r="BH151" i="1"/>
  <c r="BC151" i="1"/>
  <c r="BD151" i="1" s="1"/>
  <c r="BE151" i="1" s="1"/>
  <c r="AU151" i="1"/>
  <c r="AK151" i="1"/>
  <c r="AH151" i="1"/>
  <c r="AF151" i="1"/>
  <c r="AE151" i="1"/>
  <c r="S151" i="1"/>
  <c r="R151" i="1"/>
  <c r="P151" i="1"/>
  <c r="BH150" i="1"/>
  <c r="BC150" i="1"/>
  <c r="BJ150" i="1" s="1"/>
  <c r="BK150" i="1" s="1"/>
  <c r="AU150" i="1"/>
  <c r="AK150" i="1"/>
  <c r="AH150" i="1"/>
  <c r="AF150" i="1"/>
  <c r="AE150" i="1"/>
  <c r="S150" i="1"/>
  <c r="R150" i="1"/>
  <c r="P150" i="1"/>
  <c r="BH149" i="1"/>
  <c r="BD149" i="1"/>
  <c r="BE149" i="1" s="1"/>
  <c r="BC149" i="1"/>
  <c r="BJ149" i="1" s="1"/>
  <c r="BK149" i="1" s="1"/>
  <c r="AU149" i="1"/>
  <c r="AK149" i="1"/>
  <c r="AH149" i="1"/>
  <c r="AF149" i="1"/>
  <c r="AE149" i="1"/>
  <c r="S149" i="1"/>
  <c r="R149" i="1"/>
  <c r="P149" i="1"/>
  <c r="BH148" i="1"/>
  <c r="BC148" i="1"/>
  <c r="AU148" i="1"/>
  <c r="AK148" i="1"/>
  <c r="AH148" i="1"/>
  <c r="AF148" i="1"/>
  <c r="AE148" i="1"/>
  <c r="S148" i="1"/>
  <c r="R148" i="1"/>
  <c r="P148" i="1"/>
  <c r="BJ147" i="1"/>
  <c r="BK147" i="1" s="1"/>
  <c r="BH147" i="1"/>
  <c r="BE147" i="1"/>
  <c r="BD147" i="1"/>
  <c r="BC147" i="1"/>
  <c r="AU147" i="1"/>
  <c r="AK147" i="1"/>
  <c r="AH147" i="1"/>
  <c r="AF147" i="1"/>
  <c r="AE147" i="1"/>
  <c r="S147" i="1"/>
  <c r="R147" i="1"/>
  <c r="P147" i="1"/>
  <c r="BK146" i="1"/>
  <c r="BJ146" i="1"/>
  <c r="BH146" i="1"/>
  <c r="BE146" i="1"/>
  <c r="BQ146" i="1" s="1"/>
  <c r="BD146" i="1"/>
  <c r="BC146" i="1"/>
  <c r="AU146" i="1"/>
  <c r="AK146" i="1"/>
  <c r="AH146" i="1"/>
  <c r="AF146" i="1"/>
  <c r="AE146" i="1"/>
  <c r="S146" i="1"/>
  <c r="R146" i="1"/>
  <c r="P146" i="1"/>
  <c r="BH145" i="1"/>
  <c r="BC145" i="1"/>
  <c r="BJ145" i="1" s="1"/>
  <c r="BK145" i="1" s="1"/>
  <c r="AU145" i="1"/>
  <c r="AK145" i="1"/>
  <c r="AH145" i="1"/>
  <c r="AF145" i="1"/>
  <c r="AE145" i="1"/>
  <c r="S145" i="1"/>
  <c r="R145" i="1"/>
  <c r="P145" i="1"/>
  <c r="BJ144" i="1"/>
  <c r="BK144" i="1" s="1"/>
  <c r="BH144" i="1"/>
  <c r="BC144" i="1"/>
  <c r="BD144" i="1" s="1"/>
  <c r="BE144" i="1" s="1"/>
  <c r="AU144" i="1"/>
  <c r="AP144" i="1"/>
  <c r="AK144" i="1"/>
  <c r="AH144" i="1"/>
  <c r="AF144" i="1"/>
  <c r="AE144" i="1"/>
  <c r="S144" i="1"/>
  <c r="R144" i="1"/>
  <c r="P144" i="1"/>
  <c r="BJ143" i="1"/>
  <c r="BK143" i="1" s="1"/>
  <c r="BH143" i="1"/>
  <c r="BC143" i="1"/>
  <c r="BD143" i="1" s="1"/>
  <c r="BE143" i="1" s="1"/>
  <c r="AU143" i="1"/>
  <c r="AP143" i="1"/>
  <c r="AK143" i="1"/>
  <c r="AH143" i="1"/>
  <c r="AF143" i="1"/>
  <c r="AE143" i="1"/>
  <c r="S143" i="1"/>
  <c r="R143" i="1"/>
  <c r="P143" i="1"/>
  <c r="BH142" i="1"/>
  <c r="BC142" i="1"/>
  <c r="AU142" i="1"/>
  <c r="AP142" i="1"/>
  <c r="AK142" i="1"/>
  <c r="AH142" i="1"/>
  <c r="AF142" i="1"/>
  <c r="AE142" i="1"/>
  <c r="S142" i="1"/>
  <c r="R142" i="1"/>
  <c r="P142" i="1"/>
  <c r="BJ141" i="1"/>
  <c r="BK141" i="1" s="1"/>
  <c r="BH141" i="1"/>
  <c r="BC141" i="1"/>
  <c r="BD141" i="1" s="1"/>
  <c r="BE141" i="1" s="1"/>
  <c r="AU141" i="1"/>
  <c r="AP141" i="1"/>
  <c r="AK141" i="1"/>
  <c r="AH141" i="1"/>
  <c r="AF141" i="1"/>
  <c r="AE141" i="1"/>
  <c r="S141" i="1"/>
  <c r="R141" i="1"/>
  <c r="P141" i="1"/>
  <c r="BJ140" i="1"/>
  <c r="BK140" i="1" s="1"/>
  <c r="BH140" i="1"/>
  <c r="BC140" i="1"/>
  <c r="BD140" i="1" s="1"/>
  <c r="BE140" i="1" s="1"/>
  <c r="AU140" i="1"/>
  <c r="AP140" i="1"/>
  <c r="AK140" i="1"/>
  <c r="AH140" i="1"/>
  <c r="AF140" i="1"/>
  <c r="AE140" i="1"/>
  <c r="S140" i="1"/>
  <c r="R140" i="1"/>
  <c r="P140" i="1"/>
  <c r="BH139" i="1"/>
  <c r="BC139" i="1"/>
  <c r="AU139" i="1"/>
  <c r="AP139" i="1"/>
  <c r="AK139" i="1"/>
  <c r="AH139" i="1"/>
  <c r="AF139" i="1"/>
  <c r="AE139" i="1"/>
  <c r="S139" i="1"/>
  <c r="R139" i="1"/>
  <c r="P139" i="1"/>
  <c r="BJ138" i="1"/>
  <c r="BK138" i="1" s="1"/>
  <c r="BH138" i="1"/>
  <c r="BC138" i="1"/>
  <c r="BD138" i="1" s="1"/>
  <c r="BE138" i="1" s="1"/>
  <c r="AU138" i="1"/>
  <c r="AP138" i="1"/>
  <c r="AK138" i="1"/>
  <c r="AH138" i="1"/>
  <c r="AF138" i="1"/>
  <c r="AE138" i="1"/>
  <c r="S138" i="1"/>
  <c r="R138" i="1"/>
  <c r="P138" i="1"/>
  <c r="BH137" i="1"/>
  <c r="BC137" i="1"/>
  <c r="AU137" i="1"/>
  <c r="AP137" i="1"/>
  <c r="AK137" i="1"/>
  <c r="AH137" i="1"/>
  <c r="AF137" i="1"/>
  <c r="AE137" i="1"/>
  <c r="S137" i="1"/>
  <c r="R137" i="1"/>
  <c r="P137" i="1"/>
  <c r="BH136" i="1"/>
  <c r="BC136" i="1"/>
  <c r="BD136" i="1" s="1"/>
  <c r="BE136" i="1" s="1"/>
  <c r="AU136" i="1"/>
  <c r="AP136" i="1"/>
  <c r="AK136" i="1"/>
  <c r="AH136" i="1"/>
  <c r="AF136" i="1"/>
  <c r="AE136" i="1"/>
  <c r="S136" i="1"/>
  <c r="R136" i="1"/>
  <c r="P136" i="1"/>
  <c r="BH135" i="1"/>
  <c r="BC135" i="1"/>
  <c r="AU135" i="1"/>
  <c r="AP135" i="1"/>
  <c r="AK135" i="1"/>
  <c r="AH135" i="1"/>
  <c r="AF135" i="1"/>
  <c r="AE135" i="1"/>
  <c r="S135" i="1"/>
  <c r="R135" i="1"/>
  <c r="P135" i="1"/>
  <c r="BH134" i="1"/>
  <c r="BC134" i="1"/>
  <c r="AU134" i="1"/>
  <c r="AP134" i="1"/>
  <c r="AK134" i="1"/>
  <c r="AH134" i="1"/>
  <c r="AF134" i="1"/>
  <c r="AE134" i="1"/>
  <c r="S134" i="1"/>
  <c r="R134" i="1"/>
  <c r="P134" i="1"/>
  <c r="BJ133" i="1"/>
  <c r="BK133" i="1" s="1"/>
  <c r="BH133" i="1"/>
  <c r="BC133" i="1"/>
  <c r="BD133" i="1" s="1"/>
  <c r="BE133" i="1" s="1"/>
  <c r="AU133" i="1"/>
  <c r="AP133" i="1"/>
  <c r="AK133" i="1"/>
  <c r="AH133" i="1"/>
  <c r="AF133" i="1"/>
  <c r="AE133" i="1"/>
  <c r="S133" i="1"/>
  <c r="R133" i="1"/>
  <c r="P133" i="1"/>
  <c r="BH132" i="1"/>
  <c r="BC132" i="1"/>
  <c r="AU132" i="1"/>
  <c r="AP132" i="1"/>
  <c r="AK132" i="1"/>
  <c r="AH132" i="1"/>
  <c r="AF132" i="1"/>
  <c r="AE132" i="1"/>
  <c r="S132" i="1"/>
  <c r="R132" i="1"/>
  <c r="P132" i="1"/>
  <c r="BJ131" i="1"/>
  <c r="BK131" i="1" s="1"/>
  <c r="BH131" i="1"/>
  <c r="BC131" i="1"/>
  <c r="BD131" i="1" s="1"/>
  <c r="BE131" i="1" s="1"/>
  <c r="AU131" i="1"/>
  <c r="AP131" i="1"/>
  <c r="AK131" i="1"/>
  <c r="AH131" i="1"/>
  <c r="AF131" i="1"/>
  <c r="AE131" i="1"/>
  <c r="S131" i="1"/>
  <c r="R131" i="1"/>
  <c r="P131" i="1"/>
  <c r="BJ130" i="1"/>
  <c r="BK130" i="1" s="1"/>
  <c r="BH130" i="1"/>
  <c r="BC130" i="1"/>
  <c r="BD130" i="1" s="1"/>
  <c r="BE130" i="1" s="1"/>
  <c r="AU130" i="1"/>
  <c r="AP130" i="1"/>
  <c r="AK130" i="1"/>
  <c r="AH130" i="1"/>
  <c r="AF130" i="1"/>
  <c r="AE130" i="1"/>
  <c r="S130" i="1"/>
  <c r="R130" i="1"/>
  <c r="P130" i="1"/>
  <c r="BH129" i="1"/>
  <c r="BC129" i="1"/>
  <c r="BD129" i="1" s="1"/>
  <c r="BE129" i="1" s="1"/>
  <c r="AU129" i="1"/>
  <c r="AP129" i="1"/>
  <c r="AK129" i="1"/>
  <c r="AH129" i="1"/>
  <c r="AF129" i="1"/>
  <c r="AE129" i="1"/>
  <c r="S129" i="1"/>
  <c r="R129" i="1"/>
  <c r="P129" i="1"/>
  <c r="BJ128" i="1"/>
  <c r="BK128" i="1" s="1"/>
  <c r="BH128" i="1"/>
  <c r="BC128" i="1"/>
  <c r="BD128" i="1" s="1"/>
  <c r="BE128" i="1" s="1"/>
  <c r="AU128" i="1"/>
  <c r="AP128" i="1"/>
  <c r="AK128" i="1"/>
  <c r="AH128" i="1"/>
  <c r="AF128" i="1"/>
  <c r="AE128" i="1"/>
  <c r="V128" i="1"/>
  <c r="S128" i="1"/>
  <c r="R128" i="1"/>
  <c r="P128" i="1"/>
  <c r="BH127" i="1"/>
  <c r="BD127" i="1"/>
  <c r="BE127" i="1" s="1"/>
  <c r="BC127" i="1"/>
  <c r="BJ127" i="1" s="1"/>
  <c r="BK127" i="1" s="1"/>
  <c r="AU127" i="1"/>
  <c r="AP127" i="1"/>
  <c r="AK127" i="1"/>
  <c r="AH127" i="1"/>
  <c r="AF127" i="1"/>
  <c r="AE127" i="1"/>
  <c r="S127" i="1"/>
  <c r="R127" i="1"/>
  <c r="P127" i="1"/>
  <c r="BJ126" i="1"/>
  <c r="BK126" i="1" s="1"/>
  <c r="BH126" i="1"/>
  <c r="BD126" i="1"/>
  <c r="BE126" i="1" s="1"/>
  <c r="BC126" i="1"/>
  <c r="AU126" i="1"/>
  <c r="AP126" i="1"/>
  <c r="AK126" i="1"/>
  <c r="AH126" i="1"/>
  <c r="AF126" i="1"/>
  <c r="AE126" i="1"/>
  <c r="S126" i="1"/>
  <c r="R126" i="1"/>
  <c r="P126" i="1"/>
  <c r="BK125" i="1"/>
  <c r="BH125" i="1"/>
  <c r="BC125" i="1"/>
  <c r="BJ125" i="1" s="1"/>
  <c r="AU125" i="1"/>
  <c r="AP125" i="1"/>
  <c r="AK125" i="1"/>
  <c r="AH125" i="1"/>
  <c r="AF125" i="1"/>
  <c r="AE125" i="1"/>
  <c r="S125" i="1"/>
  <c r="R125" i="1"/>
  <c r="P125" i="1"/>
  <c r="BJ124" i="1"/>
  <c r="BK124" i="1" s="1"/>
  <c r="BH124" i="1"/>
  <c r="BD124" i="1"/>
  <c r="BE124" i="1" s="1"/>
  <c r="BQ124" i="1" s="1"/>
  <c r="BC124" i="1"/>
  <c r="AU124" i="1"/>
  <c r="AP124" i="1"/>
  <c r="AK124" i="1"/>
  <c r="AH124" i="1"/>
  <c r="AF124" i="1"/>
  <c r="AE124" i="1"/>
  <c r="S124" i="1"/>
  <c r="R124" i="1"/>
  <c r="P124" i="1"/>
  <c r="BH123" i="1"/>
  <c r="BC123" i="1"/>
  <c r="BJ123" i="1" s="1"/>
  <c r="BK123" i="1" s="1"/>
  <c r="AU123" i="1"/>
  <c r="AP123" i="1"/>
  <c r="AK123" i="1"/>
  <c r="AH123" i="1"/>
  <c r="AF123" i="1"/>
  <c r="AE123" i="1"/>
  <c r="S123" i="1"/>
  <c r="R123" i="1"/>
  <c r="P123" i="1"/>
  <c r="BK122" i="1"/>
  <c r="BJ122" i="1"/>
  <c r="BH122" i="1"/>
  <c r="BD122" i="1"/>
  <c r="BE122" i="1" s="1"/>
  <c r="BQ122" i="1" s="1"/>
  <c r="BC122" i="1"/>
  <c r="AU122" i="1"/>
  <c r="AP122" i="1"/>
  <c r="AK122" i="1"/>
  <c r="AH122" i="1"/>
  <c r="AF122" i="1"/>
  <c r="AE122" i="1"/>
  <c r="S122" i="1"/>
  <c r="R122" i="1"/>
  <c r="P122" i="1"/>
  <c r="BK121" i="1"/>
  <c r="BH121" i="1"/>
  <c r="BC121" i="1"/>
  <c r="BJ121" i="1" s="1"/>
  <c r="AU121" i="1"/>
  <c r="AP121" i="1"/>
  <c r="AK121" i="1"/>
  <c r="AH121" i="1"/>
  <c r="AF121" i="1"/>
  <c r="AE121" i="1"/>
  <c r="S121" i="1"/>
  <c r="R121" i="1"/>
  <c r="P121" i="1"/>
  <c r="BJ120" i="1"/>
  <c r="BK120" i="1" s="1"/>
  <c r="BH120" i="1"/>
  <c r="BD120" i="1"/>
  <c r="BE120" i="1" s="1"/>
  <c r="BC120" i="1"/>
  <c r="AU120" i="1"/>
  <c r="AP120" i="1"/>
  <c r="AK120" i="1"/>
  <c r="AH120" i="1"/>
  <c r="AF120" i="1"/>
  <c r="AE120" i="1"/>
  <c r="S120" i="1"/>
  <c r="R120" i="1"/>
  <c r="P120" i="1"/>
  <c r="BH119" i="1"/>
  <c r="BC119" i="1"/>
  <c r="AU119" i="1"/>
  <c r="AP119" i="1"/>
  <c r="AK119" i="1"/>
  <c r="AH119" i="1"/>
  <c r="AF119" i="1"/>
  <c r="AE119" i="1"/>
  <c r="S119" i="1"/>
  <c r="R119" i="1"/>
  <c r="P119" i="1"/>
  <c r="BK118" i="1"/>
  <c r="BJ118" i="1"/>
  <c r="BH118" i="1"/>
  <c r="BD118" i="1"/>
  <c r="BE118" i="1" s="1"/>
  <c r="BQ118" i="1" s="1"/>
  <c r="BC118" i="1"/>
  <c r="AU118" i="1"/>
  <c r="AP118" i="1"/>
  <c r="AK118" i="1"/>
  <c r="AH118" i="1"/>
  <c r="AF118" i="1"/>
  <c r="AE118" i="1"/>
  <c r="S118" i="1"/>
  <c r="R118" i="1"/>
  <c r="P118" i="1"/>
  <c r="BH117" i="1"/>
  <c r="BD117" i="1"/>
  <c r="BE117" i="1" s="1"/>
  <c r="BC117" i="1"/>
  <c r="BJ117" i="1" s="1"/>
  <c r="BK117" i="1" s="1"/>
  <c r="AU117" i="1"/>
  <c r="AP117" i="1"/>
  <c r="AK117" i="1"/>
  <c r="AH117" i="1"/>
  <c r="AF117" i="1"/>
  <c r="AE117" i="1"/>
  <c r="S117" i="1"/>
  <c r="R117" i="1"/>
  <c r="P117" i="1"/>
  <c r="BJ116" i="1"/>
  <c r="BK116" i="1" s="1"/>
  <c r="BH116" i="1"/>
  <c r="BD116" i="1"/>
  <c r="BE116" i="1" s="1"/>
  <c r="BC116" i="1"/>
  <c r="AU116" i="1"/>
  <c r="AP116" i="1"/>
  <c r="AK116" i="1"/>
  <c r="AH116" i="1"/>
  <c r="AF116" i="1"/>
  <c r="AE116" i="1"/>
  <c r="S116" i="1"/>
  <c r="R116" i="1"/>
  <c r="P116" i="1"/>
  <c r="BH115" i="1"/>
  <c r="BC115" i="1"/>
  <c r="AU115" i="1"/>
  <c r="AP115" i="1"/>
  <c r="AK115" i="1"/>
  <c r="AH115" i="1"/>
  <c r="AF115" i="1"/>
  <c r="AE115" i="1"/>
  <c r="S115" i="1"/>
  <c r="R115" i="1"/>
  <c r="P115" i="1"/>
  <c r="BJ114" i="1"/>
  <c r="BK114" i="1" s="1"/>
  <c r="BH114" i="1"/>
  <c r="BD114" i="1"/>
  <c r="BE114" i="1" s="1"/>
  <c r="BC114" i="1"/>
  <c r="AU114" i="1"/>
  <c r="AP114" i="1"/>
  <c r="AK114" i="1"/>
  <c r="AH114" i="1"/>
  <c r="AF114" i="1"/>
  <c r="AE114" i="1"/>
  <c r="S114" i="1"/>
  <c r="R114" i="1"/>
  <c r="P114" i="1"/>
  <c r="BK113" i="1"/>
  <c r="BH113" i="1"/>
  <c r="BD113" i="1"/>
  <c r="BE113" i="1" s="1"/>
  <c r="BC113" i="1"/>
  <c r="BJ113" i="1" s="1"/>
  <c r="AU113" i="1"/>
  <c r="AP113" i="1"/>
  <c r="AK113" i="1"/>
  <c r="AH113" i="1"/>
  <c r="AF113" i="1"/>
  <c r="AE113" i="1"/>
  <c r="S113" i="1"/>
  <c r="R113" i="1"/>
  <c r="P113" i="1"/>
  <c r="BH112" i="1"/>
  <c r="BC112" i="1"/>
  <c r="AU112" i="1"/>
  <c r="AP112" i="1"/>
  <c r="AK112" i="1"/>
  <c r="AH112" i="1"/>
  <c r="AF112" i="1"/>
  <c r="AE112" i="1"/>
  <c r="S112" i="1"/>
  <c r="R112" i="1"/>
  <c r="P112" i="1"/>
  <c r="BH111" i="1"/>
  <c r="BC111" i="1"/>
  <c r="BD111" i="1" s="1"/>
  <c r="BE111" i="1" s="1"/>
  <c r="AU111" i="1"/>
  <c r="AP111" i="1"/>
  <c r="AK111" i="1"/>
  <c r="AH111" i="1"/>
  <c r="AF111" i="1"/>
  <c r="AE111" i="1"/>
  <c r="S111" i="1"/>
  <c r="R111" i="1"/>
  <c r="P111" i="1"/>
  <c r="BH110" i="1"/>
  <c r="BD110" i="1"/>
  <c r="BE110" i="1" s="1"/>
  <c r="BC110" i="1"/>
  <c r="BJ110" i="1" s="1"/>
  <c r="BK110" i="1" s="1"/>
  <c r="AU110" i="1"/>
  <c r="AP110" i="1"/>
  <c r="AK110" i="1"/>
  <c r="AH110" i="1"/>
  <c r="AF110" i="1"/>
  <c r="AE110" i="1"/>
  <c r="S110" i="1"/>
  <c r="R110" i="1"/>
  <c r="P110" i="1"/>
  <c r="BJ109" i="1"/>
  <c r="BK109" i="1" s="1"/>
  <c r="BH109" i="1"/>
  <c r="BC109" i="1"/>
  <c r="BD109" i="1" s="1"/>
  <c r="BE109" i="1" s="1"/>
  <c r="BQ109" i="1" s="1"/>
  <c r="AU109" i="1"/>
  <c r="AP109" i="1"/>
  <c r="AK109" i="1"/>
  <c r="AH109" i="1"/>
  <c r="AF109" i="1"/>
  <c r="AE109" i="1"/>
  <c r="S109" i="1"/>
  <c r="R109" i="1"/>
  <c r="P109" i="1"/>
  <c r="BJ108" i="1"/>
  <c r="BK108" i="1" s="1"/>
  <c r="BH108" i="1"/>
  <c r="BD108" i="1"/>
  <c r="BE108" i="1" s="1"/>
  <c r="BC108" i="1"/>
  <c r="AU108" i="1"/>
  <c r="AP108" i="1"/>
  <c r="AK108" i="1"/>
  <c r="AH108" i="1"/>
  <c r="AF108" i="1"/>
  <c r="AE108" i="1"/>
  <c r="S108" i="1"/>
  <c r="R108" i="1"/>
  <c r="P108" i="1"/>
  <c r="BJ107" i="1"/>
  <c r="BK107" i="1" s="1"/>
  <c r="BH107" i="1"/>
  <c r="BC107" i="1"/>
  <c r="BD107" i="1" s="1"/>
  <c r="BE107" i="1" s="1"/>
  <c r="AU107" i="1"/>
  <c r="AP107" i="1"/>
  <c r="AK107" i="1"/>
  <c r="AH107" i="1"/>
  <c r="AF107" i="1"/>
  <c r="AE107" i="1"/>
  <c r="S107" i="1"/>
  <c r="R107" i="1"/>
  <c r="P107" i="1"/>
  <c r="BH106" i="1"/>
  <c r="BC106" i="1"/>
  <c r="BD106" i="1" s="1"/>
  <c r="BE106" i="1" s="1"/>
  <c r="AU106" i="1"/>
  <c r="AP106" i="1"/>
  <c r="AK106" i="1"/>
  <c r="AH106" i="1"/>
  <c r="AF106" i="1"/>
  <c r="AE106" i="1"/>
  <c r="S106" i="1"/>
  <c r="R106" i="1"/>
  <c r="P106" i="1"/>
  <c r="BH105" i="1"/>
  <c r="BD105" i="1"/>
  <c r="BE105" i="1" s="1"/>
  <c r="BQ105" i="1" s="1"/>
  <c r="BC105" i="1"/>
  <c r="BJ105" i="1" s="1"/>
  <c r="BK105" i="1" s="1"/>
  <c r="AU105" i="1"/>
  <c r="AP105" i="1"/>
  <c r="AK105" i="1"/>
  <c r="AH105" i="1"/>
  <c r="AF105" i="1"/>
  <c r="AE105" i="1"/>
  <c r="S105" i="1"/>
  <c r="R105" i="1"/>
  <c r="P105" i="1"/>
  <c r="BH104" i="1"/>
  <c r="BC104" i="1"/>
  <c r="AU104" i="1"/>
  <c r="AP104" i="1"/>
  <c r="AK104" i="1"/>
  <c r="AH104" i="1"/>
  <c r="AF104" i="1"/>
  <c r="AE104" i="1"/>
  <c r="S104" i="1"/>
  <c r="R104" i="1"/>
  <c r="P104" i="1"/>
  <c r="BH103" i="1"/>
  <c r="BD103" i="1"/>
  <c r="BE103" i="1" s="1"/>
  <c r="BC103" i="1"/>
  <c r="BJ103" i="1" s="1"/>
  <c r="BK103" i="1" s="1"/>
  <c r="AU103" i="1"/>
  <c r="AP103" i="1"/>
  <c r="AK103" i="1"/>
  <c r="AH103" i="1"/>
  <c r="AF103" i="1"/>
  <c r="AE103" i="1"/>
  <c r="S103" i="1"/>
  <c r="R103" i="1"/>
  <c r="P103" i="1"/>
  <c r="BK102" i="1"/>
  <c r="BH102" i="1"/>
  <c r="BC102" i="1"/>
  <c r="BJ102" i="1" s="1"/>
  <c r="AU102" i="1"/>
  <c r="AP102" i="1"/>
  <c r="AK102" i="1"/>
  <c r="AH102" i="1"/>
  <c r="AF102" i="1"/>
  <c r="AE102" i="1"/>
  <c r="S102" i="1"/>
  <c r="R102" i="1"/>
  <c r="P102" i="1"/>
  <c r="BJ101" i="1"/>
  <c r="BK101" i="1" s="1"/>
  <c r="BH101" i="1"/>
  <c r="BD101" i="1"/>
  <c r="BE101" i="1" s="1"/>
  <c r="BC101" i="1"/>
  <c r="AU101" i="1"/>
  <c r="AP101" i="1"/>
  <c r="AK101" i="1"/>
  <c r="AH101" i="1"/>
  <c r="AF101" i="1"/>
  <c r="AE101" i="1"/>
  <c r="S101" i="1"/>
  <c r="R101" i="1"/>
  <c r="P101" i="1"/>
  <c r="BJ100" i="1"/>
  <c r="BK100" i="1" s="1"/>
  <c r="BH100" i="1"/>
  <c r="BD100" i="1"/>
  <c r="BE100" i="1" s="1"/>
  <c r="BC100" i="1"/>
  <c r="AU100" i="1"/>
  <c r="AP100" i="1"/>
  <c r="AK100" i="1"/>
  <c r="AH100" i="1"/>
  <c r="AF100" i="1"/>
  <c r="AE100" i="1"/>
  <c r="S100" i="1"/>
  <c r="R100" i="1"/>
  <c r="P100" i="1"/>
  <c r="BH99" i="1"/>
  <c r="BC99" i="1"/>
  <c r="BD99" i="1" s="1"/>
  <c r="BE99" i="1" s="1"/>
  <c r="AU99" i="1"/>
  <c r="AP99" i="1"/>
  <c r="AK99" i="1"/>
  <c r="AH99" i="1"/>
  <c r="AF99" i="1"/>
  <c r="AE99" i="1"/>
  <c r="S99" i="1"/>
  <c r="R99" i="1"/>
  <c r="P99" i="1"/>
  <c r="BK98" i="1"/>
  <c r="BQ98" i="1" s="1"/>
  <c r="BJ98" i="1"/>
  <c r="BH98" i="1"/>
  <c r="BC98" i="1"/>
  <c r="BD98" i="1" s="1"/>
  <c r="BE98" i="1" s="1"/>
  <c r="AU98" i="1"/>
  <c r="AP98" i="1"/>
  <c r="AK98" i="1"/>
  <c r="AH98" i="1"/>
  <c r="AF98" i="1"/>
  <c r="AE98" i="1"/>
  <c r="S98" i="1"/>
  <c r="R98" i="1"/>
  <c r="P98" i="1"/>
  <c r="BJ97" i="1"/>
  <c r="BK97" i="1" s="1"/>
  <c r="BH97" i="1"/>
  <c r="BD97" i="1"/>
  <c r="BE97" i="1" s="1"/>
  <c r="BC97" i="1"/>
  <c r="AU97" i="1"/>
  <c r="AP97" i="1"/>
  <c r="AK97" i="1"/>
  <c r="AH97" i="1"/>
  <c r="AF97" i="1"/>
  <c r="AE97" i="1"/>
  <c r="S97" i="1"/>
  <c r="R97" i="1"/>
  <c r="P97" i="1"/>
  <c r="BH96" i="1"/>
  <c r="BC96" i="1"/>
  <c r="AU96" i="1"/>
  <c r="AP96" i="1"/>
  <c r="AK96" i="1"/>
  <c r="AH96" i="1"/>
  <c r="AF96" i="1"/>
  <c r="AE96" i="1"/>
  <c r="S96" i="1"/>
  <c r="R96" i="1"/>
  <c r="P96" i="1"/>
  <c r="BH95" i="1"/>
  <c r="BC95" i="1"/>
  <c r="AU95" i="1"/>
  <c r="AP95" i="1"/>
  <c r="AK95" i="1"/>
  <c r="AH95" i="1"/>
  <c r="AF95" i="1"/>
  <c r="AE95" i="1"/>
  <c r="S95" i="1"/>
  <c r="R95" i="1"/>
  <c r="P95" i="1"/>
  <c r="BJ94" i="1"/>
  <c r="BK94" i="1" s="1"/>
  <c r="BQ94" i="1" s="1"/>
  <c r="BH94" i="1"/>
  <c r="BC94" i="1"/>
  <c r="BD94" i="1" s="1"/>
  <c r="BE94" i="1" s="1"/>
  <c r="AU94" i="1"/>
  <c r="AP94" i="1"/>
  <c r="AK94" i="1"/>
  <c r="AH94" i="1"/>
  <c r="AF94" i="1"/>
  <c r="AE94" i="1"/>
  <c r="S94" i="1"/>
  <c r="R94" i="1"/>
  <c r="P94" i="1"/>
  <c r="BH93" i="1"/>
  <c r="BC93" i="1"/>
  <c r="BJ93" i="1" s="1"/>
  <c r="BK93" i="1" s="1"/>
  <c r="AU93" i="1"/>
  <c r="AP93" i="1"/>
  <c r="AK93" i="1"/>
  <c r="AH93" i="1"/>
  <c r="AF93" i="1"/>
  <c r="AE93" i="1"/>
  <c r="S93" i="1"/>
  <c r="R93" i="1"/>
  <c r="P93" i="1"/>
  <c r="BH92" i="1"/>
  <c r="BC92" i="1"/>
  <c r="BD92" i="1" s="1"/>
  <c r="BE92" i="1" s="1"/>
  <c r="AU92" i="1"/>
  <c r="AP92" i="1"/>
  <c r="AK92" i="1"/>
  <c r="AH92" i="1"/>
  <c r="AF92" i="1"/>
  <c r="AE92" i="1"/>
  <c r="S92" i="1"/>
  <c r="R92" i="1"/>
  <c r="P92" i="1"/>
  <c r="BH91" i="1"/>
  <c r="BC91" i="1"/>
  <c r="BJ91" i="1" s="1"/>
  <c r="BK91" i="1" s="1"/>
  <c r="AU91" i="1"/>
  <c r="AP91" i="1"/>
  <c r="AK91" i="1"/>
  <c r="AH91" i="1"/>
  <c r="AF91" i="1"/>
  <c r="AE91" i="1"/>
  <c r="S91" i="1"/>
  <c r="R91" i="1"/>
  <c r="P91" i="1"/>
  <c r="BK90" i="1"/>
  <c r="BH90" i="1"/>
  <c r="BC90" i="1"/>
  <c r="BJ90" i="1" s="1"/>
  <c r="AU90" i="1"/>
  <c r="AP90" i="1"/>
  <c r="AK90" i="1"/>
  <c r="AH90" i="1"/>
  <c r="AF90" i="1"/>
  <c r="AE90" i="1"/>
  <c r="S90" i="1"/>
  <c r="R90" i="1"/>
  <c r="P90" i="1"/>
  <c r="BJ89" i="1"/>
  <c r="BK89" i="1" s="1"/>
  <c r="BH89" i="1"/>
  <c r="BE89" i="1"/>
  <c r="BC89" i="1"/>
  <c r="BD89" i="1" s="1"/>
  <c r="AU89" i="1"/>
  <c r="AP89" i="1"/>
  <c r="AK89" i="1"/>
  <c r="AH89" i="1"/>
  <c r="AF89" i="1"/>
  <c r="AE89" i="1"/>
  <c r="S89" i="1"/>
  <c r="R89" i="1"/>
  <c r="P89" i="1"/>
  <c r="BH88" i="1"/>
  <c r="BC88" i="1"/>
  <c r="BD88" i="1" s="1"/>
  <c r="BE88" i="1" s="1"/>
  <c r="AU88" i="1"/>
  <c r="AP88" i="1"/>
  <c r="AK88" i="1"/>
  <c r="AH88" i="1"/>
  <c r="AF88" i="1"/>
  <c r="AE88" i="1"/>
  <c r="S88" i="1"/>
  <c r="R88" i="1"/>
  <c r="P88" i="1"/>
  <c r="BJ87" i="1"/>
  <c r="BK87" i="1" s="1"/>
  <c r="BH87" i="1"/>
  <c r="BD87" i="1"/>
  <c r="BE87" i="1" s="1"/>
  <c r="BQ87" i="1" s="1"/>
  <c r="BC87" i="1"/>
  <c r="AU87" i="1"/>
  <c r="AP87" i="1"/>
  <c r="AK87" i="1"/>
  <c r="AH87" i="1"/>
  <c r="AF87" i="1"/>
  <c r="AE87" i="1"/>
  <c r="S87" i="1"/>
  <c r="R87" i="1"/>
  <c r="P87" i="1"/>
  <c r="BH86" i="1"/>
  <c r="BC86" i="1"/>
  <c r="BJ86" i="1" s="1"/>
  <c r="BK86" i="1" s="1"/>
  <c r="AU86" i="1"/>
  <c r="AP86" i="1"/>
  <c r="AK86" i="1"/>
  <c r="AH86" i="1"/>
  <c r="AF86" i="1"/>
  <c r="AE86" i="1"/>
  <c r="S86" i="1"/>
  <c r="R86" i="1"/>
  <c r="P86" i="1"/>
  <c r="BH85" i="1"/>
  <c r="BC85" i="1"/>
  <c r="BD85" i="1" s="1"/>
  <c r="BE85" i="1" s="1"/>
  <c r="AU85" i="1"/>
  <c r="AP85" i="1"/>
  <c r="AK85" i="1"/>
  <c r="AH85" i="1"/>
  <c r="AF85" i="1"/>
  <c r="AE85" i="1"/>
  <c r="S85" i="1"/>
  <c r="R85" i="1"/>
  <c r="P85" i="1"/>
  <c r="BH84" i="1"/>
  <c r="BC84" i="1"/>
  <c r="BD84" i="1" s="1"/>
  <c r="BE84" i="1" s="1"/>
  <c r="AU84" i="1"/>
  <c r="AP84" i="1"/>
  <c r="AK84" i="1"/>
  <c r="AH84" i="1"/>
  <c r="AF84" i="1"/>
  <c r="AE84" i="1"/>
  <c r="S84" i="1"/>
  <c r="R84" i="1"/>
  <c r="P84" i="1"/>
  <c r="BJ83" i="1"/>
  <c r="BK83" i="1" s="1"/>
  <c r="BH83" i="1"/>
  <c r="BD83" i="1"/>
  <c r="BE83" i="1" s="1"/>
  <c r="BQ83" i="1" s="1"/>
  <c r="BC83" i="1"/>
  <c r="AU83" i="1"/>
  <c r="AP83" i="1"/>
  <c r="AK83" i="1"/>
  <c r="AH83" i="1"/>
  <c r="AF83" i="1"/>
  <c r="AE83" i="1"/>
  <c r="S83" i="1"/>
  <c r="R83" i="1"/>
  <c r="P83" i="1"/>
  <c r="BH82" i="1"/>
  <c r="BC82" i="1"/>
  <c r="BJ82" i="1" s="1"/>
  <c r="BK82" i="1" s="1"/>
  <c r="AU82" i="1"/>
  <c r="AP82" i="1"/>
  <c r="AK82" i="1"/>
  <c r="AH82" i="1"/>
  <c r="AF82" i="1"/>
  <c r="AE82" i="1"/>
  <c r="S82" i="1"/>
  <c r="R82" i="1"/>
  <c r="P82" i="1"/>
  <c r="BH81" i="1"/>
  <c r="BC81" i="1"/>
  <c r="BD81" i="1" s="1"/>
  <c r="BE81" i="1" s="1"/>
  <c r="AU81" i="1"/>
  <c r="AP81" i="1"/>
  <c r="AK81" i="1"/>
  <c r="AH81" i="1"/>
  <c r="AF81" i="1"/>
  <c r="AE81" i="1"/>
  <c r="S81" i="1"/>
  <c r="R81" i="1"/>
  <c r="P81" i="1"/>
  <c r="BH80" i="1"/>
  <c r="BC80" i="1"/>
  <c r="BD80" i="1" s="1"/>
  <c r="BE80" i="1" s="1"/>
  <c r="AU80" i="1"/>
  <c r="AP80" i="1"/>
  <c r="AK80" i="1"/>
  <c r="AH80" i="1"/>
  <c r="AF80" i="1"/>
  <c r="AE80" i="1"/>
  <c r="S80" i="1"/>
  <c r="R80" i="1"/>
  <c r="P80" i="1"/>
  <c r="BJ79" i="1"/>
  <c r="BK79" i="1" s="1"/>
  <c r="BH79" i="1"/>
  <c r="BD79" i="1"/>
  <c r="BE79" i="1" s="1"/>
  <c r="BQ79" i="1" s="1"/>
  <c r="BC79" i="1"/>
  <c r="AU79" i="1"/>
  <c r="AP79" i="1"/>
  <c r="AK79" i="1"/>
  <c r="AH79" i="1"/>
  <c r="AF79" i="1"/>
  <c r="AE79" i="1"/>
  <c r="S79" i="1"/>
  <c r="R79" i="1"/>
  <c r="P79" i="1"/>
  <c r="BH78" i="1"/>
  <c r="BC78" i="1"/>
  <c r="BJ78" i="1" s="1"/>
  <c r="BK78" i="1" s="1"/>
  <c r="AU78" i="1"/>
  <c r="AP78" i="1"/>
  <c r="AK78" i="1"/>
  <c r="AH78" i="1"/>
  <c r="AF78" i="1"/>
  <c r="AE78" i="1"/>
  <c r="S78" i="1"/>
  <c r="R78" i="1"/>
  <c r="P78" i="1"/>
  <c r="BH77" i="1"/>
  <c r="BC77" i="1"/>
  <c r="BD77" i="1" s="1"/>
  <c r="BE77" i="1" s="1"/>
  <c r="AU77" i="1"/>
  <c r="AP77" i="1"/>
  <c r="AK77" i="1"/>
  <c r="AH77" i="1"/>
  <c r="AF77" i="1"/>
  <c r="AE77" i="1"/>
  <c r="S77" i="1"/>
  <c r="R77" i="1"/>
  <c r="P77" i="1"/>
  <c r="BK76" i="1"/>
  <c r="BJ76" i="1"/>
  <c r="BH76" i="1"/>
  <c r="BD76" i="1"/>
  <c r="BE76" i="1" s="1"/>
  <c r="BQ76" i="1" s="1"/>
  <c r="BC76" i="1"/>
  <c r="AU76" i="1"/>
  <c r="AP76" i="1"/>
  <c r="AK76" i="1"/>
  <c r="AH76" i="1"/>
  <c r="AF76" i="1"/>
  <c r="AE76" i="1"/>
  <c r="S76" i="1"/>
  <c r="R76" i="1"/>
  <c r="P76" i="1"/>
  <c r="BJ75" i="1"/>
  <c r="BK75" i="1" s="1"/>
  <c r="BH75" i="1"/>
  <c r="BC75" i="1"/>
  <c r="BD75" i="1" s="1"/>
  <c r="BE75" i="1" s="1"/>
  <c r="BQ75" i="1" s="1"/>
  <c r="AU75" i="1"/>
  <c r="AP75" i="1"/>
  <c r="AK75" i="1"/>
  <c r="AH75" i="1"/>
  <c r="AF75" i="1"/>
  <c r="AE75" i="1"/>
  <c r="S75" i="1"/>
  <c r="R75" i="1"/>
  <c r="P75" i="1"/>
  <c r="BH74" i="1"/>
  <c r="BC74" i="1"/>
  <c r="BJ74" i="1" s="1"/>
  <c r="BK74" i="1" s="1"/>
  <c r="AU74" i="1"/>
  <c r="AP74" i="1"/>
  <c r="AK74" i="1"/>
  <c r="AH74" i="1"/>
  <c r="AF74" i="1"/>
  <c r="AE74" i="1"/>
  <c r="S74" i="1"/>
  <c r="R74" i="1"/>
  <c r="P74" i="1"/>
  <c r="BK73" i="1"/>
  <c r="BJ73" i="1"/>
  <c r="BH73" i="1"/>
  <c r="BD73" i="1"/>
  <c r="BE73" i="1" s="1"/>
  <c r="BQ73" i="1" s="1"/>
  <c r="BC73" i="1"/>
  <c r="AU73" i="1"/>
  <c r="AP73" i="1"/>
  <c r="AK73" i="1"/>
  <c r="AH73" i="1"/>
  <c r="AF73" i="1"/>
  <c r="AE73" i="1"/>
  <c r="S73" i="1"/>
  <c r="R73" i="1"/>
  <c r="P73" i="1"/>
  <c r="BJ72" i="1"/>
  <c r="BK72" i="1" s="1"/>
  <c r="BH72" i="1"/>
  <c r="BD72" i="1"/>
  <c r="BE72" i="1" s="1"/>
  <c r="BC72" i="1"/>
  <c r="AU72" i="1"/>
  <c r="AP72" i="1"/>
  <c r="AK72" i="1"/>
  <c r="AH72" i="1"/>
  <c r="AF72" i="1"/>
  <c r="AE72" i="1"/>
  <c r="S72" i="1"/>
  <c r="R72" i="1"/>
  <c r="P72" i="1"/>
  <c r="BJ71" i="1"/>
  <c r="BK71" i="1" s="1"/>
  <c r="BH71" i="1"/>
  <c r="BD71" i="1"/>
  <c r="BE71" i="1" s="1"/>
  <c r="BQ71" i="1" s="1"/>
  <c r="BC71" i="1"/>
  <c r="AU71" i="1"/>
  <c r="AP71" i="1"/>
  <c r="AK71" i="1"/>
  <c r="AH71" i="1"/>
  <c r="AF71" i="1"/>
  <c r="AE71" i="1"/>
  <c r="S71" i="1"/>
  <c r="R71" i="1"/>
  <c r="P71" i="1"/>
  <c r="BH70" i="1"/>
  <c r="BD70" i="1"/>
  <c r="BE70" i="1" s="1"/>
  <c r="BC70" i="1"/>
  <c r="BJ70" i="1" s="1"/>
  <c r="BK70" i="1" s="1"/>
  <c r="BQ70" i="1" s="1"/>
  <c r="AU70" i="1"/>
  <c r="AP70" i="1"/>
  <c r="AK70" i="1"/>
  <c r="AH70" i="1"/>
  <c r="AF70" i="1"/>
  <c r="AE70" i="1"/>
  <c r="S70" i="1"/>
  <c r="R70" i="1"/>
  <c r="P70" i="1"/>
  <c r="BH69" i="1"/>
  <c r="BC69" i="1"/>
  <c r="BD69" i="1" s="1"/>
  <c r="BE69" i="1" s="1"/>
  <c r="AU69" i="1"/>
  <c r="AP69" i="1"/>
  <c r="AK69" i="1"/>
  <c r="AH69" i="1"/>
  <c r="AF69" i="1"/>
  <c r="AE69" i="1"/>
  <c r="S69" i="1"/>
  <c r="R69" i="1"/>
  <c r="P69" i="1"/>
  <c r="BH68" i="1"/>
  <c r="BC68" i="1"/>
  <c r="BJ68" i="1" s="1"/>
  <c r="BK68" i="1" s="1"/>
  <c r="AU68" i="1"/>
  <c r="AP68" i="1"/>
  <c r="AK68" i="1"/>
  <c r="AH68" i="1"/>
  <c r="AF68" i="1"/>
  <c r="AE68" i="1"/>
  <c r="AA68" i="1"/>
  <c r="S68" i="1"/>
  <c r="R68" i="1"/>
  <c r="P68" i="1"/>
  <c r="BJ67" i="1"/>
  <c r="BK67" i="1" s="1"/>
  <c r="BH67" i="1"/>
  <c r="BE67" i="1"/>
  <c r="BD67" i="1"/>
  <c r="BC67" i="1"/>
  <c r="AU67" i="1"/>
  <c r="AP67" i="1"/>
  <c r="AK67" i="1"/>
  <c r="AH67" i="1"/>
  <c r="AF67" i="1"/>
  <c r="AE67" i="1"/>
  <c r="S67" i="1"/>
  <c r="R67" i="1"/>
  <c r="P67" i="1"/>
  <c r="BH66" i="1"/>
  <c r="BC66" i="1"/>
  <c r="BJ66" i="1" s="1"/>
  <c r="BK66" i="1" s="1"/>
  <c r="AU66" i="1"/>
  <c r="AP66" i="1"/>
  <c r="AK66" i="1"/>
  <c r="AH66" i="1"/>
  <c r="AF66" i="1"/>
  <c r="AE66" i="1"/>
  <c r="S66" i="1"/>
  <c r="R66" i="1"/>
  <c r="P66" i="1"/>
  <c r="BH65" i="1"/>
  <c r="BC65" i="1"/>
  <c r="BD65" i="1" s="1"/>
  <c r="BE65" i="1" s="1"/>
  <c r="AU65" i="1"/>
  <c r="AP65" i="1"/>
  <c r="AK65" i="1"/>
  <c r="AH65" i="1"/>
  <c r="AF65" i="1"/>
  <c r="AE65" i="1"/>
  <c r="S65" i="1"/>
  <c r="R65" i="1"/>
  <c r="P65" i="1"/>
  <c r="BJ64" i="1"/>
  <c r="BK64" i="1" s="1"/>
  <c r="BH64" i="1"/>
  <c r="BD64" i="1"/>
  <c r="BE64" i="1" s="1"/>
  <c r="BC64" i="1"/>
  <c r="AU64" i="1"/>
  <c r="AP64" i="1"/>
  <c r="AK64" i="1"/>
  <c r="AH64" i="1"/>
  <c r="AF64" i="1"/>
  <c r="AE64" i="1"/>
  <c r="S64" i="1"/>
  <c r="R64" i="1"/>
  <c r="P64" i="1"/>
  <c r="BH63" i="1"/>
  <c r="BC63" i="1"/>
  <c r="BJ63" i="1" s="1"/>
  <c r="BK63" i="1" s="1"/>
  <c r="AU63" i="1"/>
  <c r="AP63" i="1"/>
  <c r="AK63" i="1"/>
  <c r="AH63" i="1"/>
  <c r="AF63" i="1"/>
  <c r="AE63" i="1"/>
  <c r="S63" i="1"/>
  <c r="R63" i="1"/>
  <c r="P63" i="1"/>
  <c r="BH62" i="1"/>
  <c r="BC62" i="1"/>
  <c r="BJ62" i="1" s="1"/>
  <c r="BK62" i="1" s="1"/>
  <c r="AU62" i="1"/>
  <c r="AP62" i="1"/>
  <c r="AK62" i="1"/>
  <c r="AH62" i="1"/>
  <c r="AF62" i="1"/>
  <c r="AE62" i="1"/>
  <c r="V62" i="1"/>
  <c r="S62" i="1"/>
  <c r="R62" i="1"/>
  <c r="P62" i="1"/>
  <c r="BJ61" i="1"/>
  <c r="BK61" i="1" s="1"/>
  <c r="BH61" i="1"/>
  <c r="BE61" i="1"/>
  <c r="BQ61" i="1" s="1"/>
  <c r="BD61" i="1"/>
  <c r="BC61" i="1"/>
  <c r="AU61" i="1"/>
  <c r="AP61" i="1"/>
  <c r="AK61" i="1"/>
  <c r="AH61" i="1"/>
  <c r="AF61" i="1"/>
  <c r="AE61" i="1"/>
  <c r="V61" i="1"/>
  <c r="S61" i="1"/>
  <c r="R61" i="1"/>
  <c r="P61" i="1"/>
  <c r="BH60" i="1"/>
  <c r="BC60" i="1"/>
  <c r="BJ60" i="1" s="1"/>
  <c r="BK60" i="1" s="1"/>
  <c r="AU60" i="1"/>
  <c r="AP60" i="1"/>
  <c r="AK60" i="1"/>
  <c r="AH60" i="1"/>
  <c r="AF60" i="1"/>
  <c r="AE60" i="1"/>
  <c r="S60" i="1"/>
  <c r="R60" i="1"/>
  <c r="P60" i="1"/>
  <c r="BH59" i="1"/>
  <c r="BC59" i="1"/>
  <c r="BD59" i="1" s="1"/>
  <c r="BE59" i="1" s="1"/>
  <c r="AU59" i="1"/>
  <c r="AP59" i="1"/>
  <c r="AK59" i="1"/>
  <c r="AH59" i="1"/>
  <c r="AF59" i="1"/>
  <c r="AE59" i="1"/>
  <c r="S59" i="1"/>
  <c r="R59" i="1"/>
  <c r="P59" i="1"/>
  <c r="BH58" i="1"/>
  <c r="BC58" i="1"/>
  <c r="AU58" i="1"/>
  <c r="AP58" i="1"/>
  <c r="AK58" i="1"/>
  <c r="AH58" i="1"/>
  <c r="AF58" i="1"/>
  <c r="AE58" i="1"/>
  <c r="S58" i="1"/>
  <c r="R58" i="1"/>
  <c r="P58" i="1"/>
  <c r="BJ57" i="1"/>
  <c r="BK57" i="1" s="1"/>
  <c r="BH57" i="1"/>
  <c r="BC57" i="1"/>
  <c r="BD57" i="1" s="1"/>
  <c r="BE57" i="1" s="1"/>
  <c r="BQ57" i="1" s="1"/>
  <c r="AU57" i="1"/>
  <c r="AP57" i="1"/>
  <c r="AK57" i="1"/>
  <c r="AH57" i="1"/>
  <c r="AF57" i="1"/>
  <c r="AE57" i="1"/>
  <c r="S57" i="1"/>
  <c r="R57" i="1"/>
  <c r="P57" i="1"/>
  <c r="BH56" i="1"/>
  <c r="BC56" i="1"/>
  <c r="BJ56" i="1" s="1"/>
  <c r="BK56" i="1" s="1"/>
  <c r="AU56" i="1"/>
  <c r="AP56" i="1"/>
  <c r="AK56" i="1"/>
  <c r="AH56" i="1"/>
  <c r="AF56" i="1"/>
  <c r="AE56" i="1"/>
  <c r="S56" i="1"/>
  <c r="R56" i="1"/>
  <c r="P56" i="1"/>
  <c r="BH55" i="1"/>
  <c r="BC55" i="1"/>
  <c r="BJ55" i="1" s="1"/>
  <c r="BK55" i="1" s="1"/>
  <c r="AU55" i="1"/>
  <c r="AP55" i="1"/>
  <c r="AK55" i="1"/>
  <c r="AH55" i="1"/>
  <c r="AF55" i="1"/>
  <c r="AE55" i="1"/>
  <c r="AA55" i="1"/>
  <c r="S55" i="1"/>
  <c r="R55" i="1"/>
  <c r="P55" i="1"/>
  <c r="BJ54" i="1"/>
  <c r="BK54" i="1" s="1"/>
  <c r="BH54" i="1"/>
  <c r="BD54" i="1"/>
  <c r="BE54" i="1" s="1"/>
  <c r="BQ54" i="1" s="1"/>
  <c r="BC54" i="1"/>
  <c r="AU54" i="1"/>
  <c r="AP54" i="1"/>
  <c r="AK54" i="1"/>
  <c r="AH54" i="1"/>
  <c r="AF54" i="1"/>
  <c r="AE54" i="1"/>
  <c r="S54" i="1"/>
  <c r="R54" i="1"/>
  <c r="P54" i="1"/>
  <c r="BH53" i="1"/>
  <c r="BC53" i="1"/>
  <c r="BJ53" i="1" s="1"/>
  <c r="BK53" i="1" s="1"/>
  <c r="AU53" i="1"/>
  <c r="AP53" i="1"/>
  <c r="AK53" i="1"/>
  <c r="AH53" i="1"/>
  <c r="AF53" i="1"/>
  <c r="AE53" i="1"/>
  <c r="S53" i="1"/>
  <c r="R53" i="1"/>
  <c r="P53" i="1"/>
  <c r="BJ52" i="1"/>
  <c r="BK52" i="1" s="1"/>
  <c r="BH52" i="1"/>
  <c r="BC52" i="1"/>
  <c r="BD52" i="1" s="1"/>
  <c r="BE52" i="1" s="1"/>
  <c r="BQ52" i="1" s="1"/>
  <c r="AZ52" i="1"/>
  <c r="AU52" i="1"/>
  <c r="AP52" i="1"/>
  <c r="AK52" i="1"/>
  <c r="AH52" i="1"/>
  <c r="AF52" i="1"/>
  <c r="AE52" i="1"/>
  <c r="S52" i="1"/>
  <c r="R52" i="1"/>
  <c r="P52" i="1"/>
  <c r="BH51" i="1"/>
  <c r="BC51" i="1"/>
  <c r="BJ51" i="1" s="1"/>
  <c r="BK51" i="1" s="1"/>
  <c r="AZ51" i="1"/>
  <c r="AU51" i="1"/>
  <c r="AP51" i="1"/>
  <c r="AK51" i="1"/>
  <c r="AH51" i="1"/>
  <c r="AF51" i="1"/>
  <c r="AE51" i="1"/>
  <c r="S51" i="1"/>
  <c r="R51" i="1"/>
  <c r="P51" i="1"/>
  <c r="BJ50" i="1"/>
  <c r="BK50" i="1" s="1"/>
  <c r="BH50" i="1"/>
  <c r="BE50" i="1"/>
  <c r="BC50" i="1"/>
  <c r="BD50" i="1" s="1"/>
  <c r="AU50" i="1"/>
  <c r="AP50" i="1"/>
  <c r="AK50" i="1"/>
  <c r="AH50" i="1"/>
  <c r="AF50" i="1"/>
  <c r="AE50" i="1"/>
  <c r="AA50" i="1"/>
  <c r="S50" i="1"/>
  <c r="R50" i="1"/>
  <c r="P50" i="1"/>
  <c r="BK49" i="1"/>
  <c r="BH49" i="1"/>
  <c r="BC49" i="1"/>
  <c r="BJ49" i="1" s="1"/>
  <c r="AU49" i="1"/>
  <c r="AP49" i="1"/>
  <c r="AK49" i="1"/>
  <c r="AH49" i="1"/>
  <c r="AF49" i="1"/>
  <c r="AE49" i="1"/>
  <c r="S49" i="1"/>
  <c r="R49" i="1"/>
  <c r="P49" i="1"/>
  <c r="BH48" i="1"/>
  <c r="BC48" i="1"/>
  <c r="BD48" i="1" s="1"/>
  <c r="BE48" i="1" s="1"/>
  <c r="AZ48" i="1"/>
  <c r="AU48" i="1"/>
  <c r="AP48" i="1"/>
  <c r="AK48" i="1"/>
  <c r="AH48" i="1"/>
  <c r="AF48" i="1"/>
  <c r="AE48" i="1"/>
  <c r="S48" i="1"/>
  <c r="R48" i="1"/>
  <c r="P48" i="1"/>
  <c r="BJ47" i="1"/>
  <c r="BK47" i="1" s="1"/>
  <c r="BH47" i="1"/>
  <c r="BD47" i="1"/>
  <c r="BE47" i="1" s="1"/>
  <c r="BC47" i="1"/>
  <c r="AZ47" i="1"/>
  <c r="AU47" i="1"/>
  <c r="AP47" i="1"/>
  <c r="AK47" i="1"/>
  <c r="AH47" i="1"/>
  <c r="AF47" i="1"/>
  <c r="AE47" i="1"/>
  <c r="S47" i="1"/>
  <c r="R47" i="1"/>
  <c r="P47" i="1"/>
  <c r="BH46" i="1"/>
  <c r="BC46" i="1"/>
  <c r="BJ46" i="1" s="1"/>
  <c r="BK46" i="1" s="1"/>
  <c r="AU46" i="1"/>
  <c r="AP46" i="1"/>
  <c r="AK46" i="1"/>
  <c r="AH46" i="1"/>
  <c r="AF46" i="1"/>
  <c r="AE46" i="1"/>
  <c r="S46" i="1"/>
  <c r="R46" i="1"/>
  <c r="P46" i="1"/>
  <c r="BJ45" i="1"/>
  <c r="BK45" i="1" s="1"/>
  <c r="BH45" i="1"/>
  <c r="BE45" i="1"/>
  <c r="BQ45" i="1" s="1"/>
  <c r="BD45" i="1"/>
  <c r="BC45" i="1"/>
  <c r="AU45" i="1"/>
  <c r="AP45" i="1"/>
  <c r="AK45" i="1"/>
  <c r="AH45" i="1"/>
  <c r="AF45" i="1"/>
  <c r="AE45" i="1"/>
  <c r="V45" i="1"/>
  <c r="S45" i="1"/>
  <c r="R45" i="1"/>
  <c r="P45" i="1"/>
  <c r="BH44" i="1"/>
  <c r="BC44" i="1"/>
  <c r="BJ44" i="1" s="1"/>
  <c r="BK44" i="1" s="1"/>
  <c r="AZ44" i="1"/>
  <c r="AU44" i="1"/>
  <c r="AP44" i="1"/>
  <c r="AK44" i="1"/>
  <c r="AH44" i="1"/>
  <c r="AF44" i="1"/>
  <c r="AE44" i="1"/>
  <c r="S44" i="1"/>
  <c r="R44" i="1"/>
  <c r="P44" i="1"/>
  <c r="BJ43" i="1"/>
  <c r="BK43" i="1" s="1"/>
  <c r="BH43" i="1"/>
  <c r="BD43" i="1"/>
  <c r="BE43" i="1" s="1"/>
  <c r="BC43" i="1"/>
  <c r="AZ43" i="1"/>
  <c r="AU43" i="1"/>
  <c r="AP43" i="1"/>
  <c r="AK43" i="1"/>
  <c r="AH43" i="1"/>
  <c r="AF43" i="1"/>
  <c r="AE43" i="1"/>
  <c r="S43" i="1"/>
  <c r="R43" i="1"/>
  <c r="P43" i="1"/>
  <c r="BH42" i="1"/>
  <c r="BC42" i="1"/>
  <c r="BJ42" i="1" s="1"/>
  <c r="BK42" i="1" s="1"/>
  <c r="AZ42" i="1"/>
  <c r="AU42" i="1"/>
  <c r="AP42" i="1"/>
  <c r="AK42" i="1"/>
  <c r="AH42" i="1"/>
  <c r="AF42" i="1"/>
  <c r="AE42" i="1"/>
  <c r="S42" i="1"/>
  <c r="R42" i="1"/>
  <c r="P42" i="1"/>
  <c r="BK41" i="1"/>
  <c r="BH41" i="1"/>
  <c r="BD41" i="1"/>
  <c r="BE41" i="1" s="1"/>
  <c r="BQ41" i="1" s="1"/>
  <c r="BC41" i="1"/>
  <c r="BJ41" i="1" s="1"/>
  <c r="AZ41" i="1"/>
  <c r="AU41" i="1"/>
  <c r="AP41" i="1"/>
  <c r="AK41" i="1"/>
  <c r="AH41" i="1"/>
  <c r="AF41" i="1"/>
  <c r="AE41" i="1"/>
  <c r="S41" i="1"/>
  <c r="R41" i="1"/>
  <c r="P41" i="1"/>
  <c r="BH40" i="1"/>
  <c r="BE40" i="1"/>
  <c r="BC40" i="1"/>
  <c r="BD40" i="1" s="1"/>
  <c r="AU40" i="1"/>
  <c r="AP40" i="1"/>
  <c r="AK40" i="1"/>
  <c r="AH40" i="1"/>
  <c r="AF40" i="1"/>
  <c r="AE40" i="1"/>
  <c r="S40" i="1"/>
  <c r="R40" i="1"/>
  <c r="P40" i="1"/>
  <c r="BH39" i="1"/>
  <c r="BC39" i="1"/>
  <c r="BD39" i="1" s="1"/>
  <c r="BE39" i="1" s="1"/>
  <c r="AZ39" i="1"/>
  <c r="AU39" i="1"/>
  <c r="AP39" i="1"/>
  <c r="AK39" i="1"/>
  <c r="AH39" i="1"/>
  <c r="AF39" i="1"/>
  <c r="AE39" i="1"/>
  <c r="AA39" i="1"/>
  <c r="S39" i="1"/>
  <c r="R39" i="1"/>
  <c r="P39" i="1"/>
  <c r="BH38" i="1"/>
  <c r="BC38" i="1"/>
  <c r="BJ38" i="1" s="1"/>
  <c r="BK38" i="1" s="1"/>
  <c r="AZ38" i="1"/>
  <c r="AU38" i="1"/>
  <c r="AP38" i="1"/>
  <c r="AK38" i="1"/>
  <c r="AH38" i="1"/>
  <c r="AF38" i="1"/>
  <c r="AE38" i="1"/>
  <c r="S38" i="1"/>
  <c r="R38" i="1"/>
  <c r="P38" i="1"/>
  <c r="BJ37" i="1"/>
  <c r="BK37" i="1" s="1"/>
  <c r="BH37" i="1"/>
  <c r="BD37" i="1"/>
  <c r="BE37" i="1" s="1"/>
  <c r="BC37" i="1"/>
  <c r="AZ37" i="1"/>
  <c r="AU37" i="1"/>
  <c r="AP37" i="1"/>
  <c r="AK37" i="1"/>
  <c r="AH37" i="1"/>
  <c r="AF37" i="1"/>
  <c r="AE37" i="1"/>
  <c r="S37" i="1"/>
  <c r="R37" i="1"/>
  <c r="P37" i="1"/>
  <c r="BH36" i="1"/>
  <c r="BC36" i="1"/>
  <c r="BJ36" i="1" s="1"/>
  <c r="BK36" i="1" s="1"/>
  <c r="AU36" i="1"/>
  <c r="AP36" i="1"/>
  <c r="AK36" i="1"/>
  <c r="AH36" i="1"/>
  <c r="AF36" i="1"/>
  <c r="AE36" i="1"/>
  <c r="S36" i="1"/>
  <c r="R36" i="1"/>
  <c r="P36" i="1"/>
  <c r="BH35" i="1"/>
  <c r="BC35" i="1"/>
  <c r="BD35" i="1" s="1"/>
  <c r="BE35" i="1" s="1"/>
  <c r="AZ35" i="1"/>
  <c r="AU35" i="1"/>
  <c r="AP35" i="1"/>
  <c r="AK35" i="1"/>
  <c r="AH35" i="1"/>
  <c r="AF35" i="1"/>
  <c r="AE35" i="1"/>
  <c r="S35" i="1"/>
  <c r="R35" i="1"/>
  <c r="P35" i="1"/>
  <c r="BJ34" i="1"/>
  <c r="BK34" i="1" s="1"/>
  <c r="BH34" i="1"/>
  <c r="BD34" i="1"/>
  <c r="BE34" i="1" s="1"/>
  <c r="BC34" i="1"/>
  <c r="AZ34" i="1"/>
  <c r="AU34" i="1"/>
  <c r="AP34" i="1"/>
  <c r="AK34" i="1"/>
  <c r="AH34" i="1"/>
  <c r="AF34" i="1"/>
  <c r="AE34" i="1"/>
  <c r="S34" i="1"/>
  <c r="R34" i="1"/>
  <c r="P34" i="1"/>
  <c r="BH33" i="1"/>
  <c r="BC33" i="1"/>
  <c r="AZ33" i="1"/>
  <c r="AU33" i="1"/>
  <c r="AP33" i="1"/>
  <c r="AK33" i="1"/>
  <c r="AH33" i="1"/>
  <c r="AF33" i="1"/>
  <c r="AE33" i="1"/>
  <c r="S33" i="1"/>
  <c r="R33" i="1"/>
  <c r="P33" i="1"/>
  <c r="BJ32" i="1"/>
  <c r="BK32" i="1" s="1"/>
  <c r="BQ32" i="1" s="1"/>
  <c r="BH32" i="1"/>
  <c r="BE32" i="1"/>
  <c r="BD32" i="1"/>
  <c r="BC32" i="1"/>
  <c r="AU32" i="1"/>
  <c r="AP32" i="1"/>
  <c r="AK32" i="1"/>
  <c r="AH32" i="1"/>
  <c r="AF32" i="1"/>
  <c r="AE32" i="1"/>
  <c r="S32" i="1"/>
  <c r="R32" i="1"/>
  <c r="P32" i="1"/>
  <c r="BH31" i="1"/>
  <c r="BC31" i="1"/>
  <c r="BJ31" i="1" s="1"/>
  <c r="BK31" i="1" s="1"/>
  <c r="AU31" i="1"/>
  <c r="AP31" i="1"/>
  <c r="AK31" i="1"/>
  <c r="AH31" i="1"/>
  <c r="AF31" i="1"/>
  <c r="AE31" i="1"/>
  <c r="S31" i="1"/>
  <c r="R31" i="1"/>
  <c r="P31" i="1"/>
  <c r="BJ30" i="1"/>
  <c r="BK30" i="1" s="1"/>
  <c r="BH30" i="1"/>
  <c r="BE30" i="1"/>
  <c r="BQ30" i="1" s="1"/>
  <c r="BD30" i="1"/>
  <c r="BC30" i="1"/>
  <c r="AZ30" i="1"/>
  <c r="AU30" i="1"/>
  <c r="AP30" i="1"/>
  <c r="AK30" i="1"/>
  <c r="AH30" i="1"/>
  <c r="AF30" i="1"/>
  <c r="AE30" i="1"/>
  <c r="S30" i="1"/>
  <c r="R30" i="1"/>
  <c r="P30" i="1"/>
  <c r="BH29" i="1"/>
  <c r="BC29" i="1"/>
  <c r="BD29" i="1" s="1"/>
  <c r="BE29" i="1" s="1"/>
  <c r="AZ29" i="1"/>
  <c r="AU29" i="1"/>
  <c r="AP29" i="1"/>
  <c r="AK29" i="1"/>
  <c r="AH29" i="1"/>
  <c r="AF29" i="1"/>
  <c r="AE29" i="1"/>
  <c r="S29" i="1"/>
  <c r="R29" i="1"/>
  <c r="P29" i="1"/>
  <c r="BJ28" i="1"/>
  <c r="BK28" i="1" s="1"/>
  <c r="BH28" i="1"/>
  <c r="BD28" i="1"/>
  <c r="BE28" i="1" s="1"/>
  <c r="BC28" i="1"/>
  <c r="AU28" i="1"/>
  <c r="AP28" i="1"/>
  <c r="AK28" i="1"/>
  <c r="AH28" i="1"/>
  <c r="AF28" i="1"/>
  <c r="AE28" i="1"/>
  <c r="S28" i="1"/>
  <c r="R28" i="1"/>
  <c r="P28" i="1"/>
  <c r="BH27" i="1"/>
  <c r="BC27" i="1"/>
  <c r="BJ27" i="1" s="1"/>
  <c r="BK27" i="1" s="1"/>
  <c r="AZ27" i="1"/>
  <c r="AU27" i="1"/>
  <c r="AP27" i="1"/>
  <c r="AK27" i="1"/>
  <c r="AH27" i="1"/>
  <c r="AF27" i="1"/>
  <c r="AE27" i="1"/>
  <c r="S27" i="1"/>
  <c r="R27" i="1"/>
  <c r="P27" i="1"/>
  <c r="BJ26" i="1"/>
  <c r="BK26" i="1" s="1"/>
  <c r="BQ26" i="1" s="1"/>
  <c r="BH26" i="1"/>
  <c r="BE26" i="1"/>
  <c r="BD26" i="1"/>
  <c r="BC26" i="1"/>
  <c r="AZ26" i="1"/>
  <c r="AU26" i="1"/>
  <c r="AP26" i="1"/>
  <c r="AK26" i="1"/>
  <c r="AH26" i="1"/>
  <c r="AF26" i="1"/>
  <c r="AE26" i="1"/>
  <c r="S26" i="1"/>
  <c r="R26" i="1"/>
  <c r="P26" i="1"/>
  <c r="BJ25" i="1"/>
  <c r="BK25" i="1" s="1"/>
  <c r="BH25" i="1"/>
  <c r="BD25" i="1"/>
  <c r="BE25" i="1" s="1"/>
  <c r="BQ25" i="1" s="1"/>
  <c r="BC25" i="1"/>
  <c r="AZ25" i="1"/>
  <c r="AU25" i="1"/>
  <c r="AP25" i="1"/>
  <c r="AK25" i="1"/>
  <c r="AH25" i="1"/>
  <c r="AF25" i="1"/>
  <c r="AE25" i="1"/>
  <c r="AA25" i="1"/>
  <c r="S25" i="1"/>
  <c r="R25" i="1"/>
  <c r="P25" i="1"/>
  <c r="BH24" i="1"/>
  <c r="BC24" i="1"/>
  <c r="BJ24" i="1" s="1"/>
  <c r="BK24" i="1" s="1"/>
  <c r="AU24" i="1"/>
  <c r="AP24" i="1"/>
  <c r="AK24" i="1"/>
  <c r="AH24" i="1"/>
  <c r="AF24" i="1"/>
  <c r="AE24" i="1"/>
  <c r="S24" i="1"/>
  <c r="R24" i="1"/>
  <c r="P24" i="1"/>
  <c r="BJ23" i="1"/>
  <c r="BK23" i="1" s="1"/>
  <c r="BH23" i="1"/>
  <c r="BD23" i="1"/>
  <c r="BE23" i="1" s="1"/>
  <c r="BC23" i="1"/>
  <c r="AZ23" i="1"/>
  <c r="AU23" i="1"/>
  <c r="AP23" i="1"/>
  <c r="AK23" i="1"/>
  <c r="AH23" i="1"/>
  <c r="AF23" i="1"/>
  <c r="AE23" i="1"/>
  <c r="S23" i="1"/>
  <c r="R23" i="1"/>
  <c r="P23" i="1"/>
  <c r="BH22" i="1"/>
  <c r="BC22" i="1"/>
  <c r="AZ22" i="1"/>
  <c r="AU22" i="1"/>
  <c r="AP22" i="1"/>
  <c r="AK22" i="1"/>
  <c r="AH22" i="1"/>
  <c r="AF22" i="1"/>
  <c r="AE22" i="1"/>
  <c r="S22" i="1"/>
  <c r="R22" i="1"/>
  <c r="P22" i="1"/>
  <c r="BK21" i="1"/>
  <c r="BH21" i="1"/>
  <c r="BC21" i="1"/>
  <c r="BJ21" i="1" s="1"/>
  <c r="AZ21" i="1"/>
  <c r="AU21" i="1"/>
  <c r="AP21" i="1"/>
  <c r="AK21" i="1"/>
  <c r="AH21" i="1"/>
  <c r="AF21" i="1"/>
  <c r="AE21" i="1"/>
  <c r="S21" i="1"/>
  <c r="R21" i="1"/>
  <c r="P21" i="1"/>
  <c r="BJ20" i="1"/>
  <c r="BK20" i="1" s="1"/>
  <c r="BH20" i="1"/>
  <c r="BE20" i="1"/>
  <c r="BC20" i="1"/>
  <c r="BD20" i="1" s="1"/>
  <c r="AZ20" i="1"/>
  <c r="AU20" i="1"/>
  <c r="AP20" i="1"/>
  <c r="AK20" i="1"/>
  <c r="AH20" i="1"/>
  <c r="AF20" i="1"/>
  <c r="AE20" i="1"/>
  <c r="S20" i="1"/>
  <c r="R20" i="1"/>
  <c r="P20" i="1"/>
  <c r="BH19" i="1"/>
  <c r="BC19" i="1"/>
  <c r="BJ19" i="1" s="1"/>
  <c r="BK19" i="1" s="1"/>
  <c r="AZ19" i="1"/>
  <c r="AU19" i="1"/>
  <c r="AP19" i="1"/>
  <c r="AK19" i="1"/>
  <c r="AH19" i="1"/>
  <c r="AF19" i="1"/>
  <c r="AE19" i="1"/>
  <c r="S19" i="1"/>
  <c r="R19" i="1"/>
  <c r="P19" i="1"/>
  <c r="BJ18" i="1"/>
  <c r="BK18" i="1" s="1"/>
  <c r="BQ18" i="1" s="1"/>
  <c r="BH18" i="1"/>
  <c r="BE18" i="1"/>
  <c r="BD18" i="1"/>
  <c r="BC18" i="1"/>
  <c r="AZ18" i="1"/>
  <c r="AU18" i="1"/>
  <c r="AP18" i="1"/>
  <c r="AK18" i="1"/>
  <c r="AH18" i="1"/>
  <c r="AF18" i="1"/>
  <c r="AE18" i="1"/>
  <c r="AA18" i="1"/>
  <c r="S18" i="1"/>
  <c r="R18" i="1"/>
  <c r="P18" i="1"/>
  <c r="BJ17" i="1"/>
  <c r="BK17" i="1" s="1"/>
  <c r="BH17" i="1"/>
  <c r="BC17" i="1"/>
  <c r="BD17" i="1" s="1"/>
  <c r="BE17" i="1" s="1"/>
  <c r="BQ17" i="1" s="1"/>
  <c r="AU17" i="1"/>
  <c r="AP17" i="1"/>
  <c r="AK17" i="1"/>
  <c r="AH17" i="1"/>
  <c r="AF17" i="1"/>
  <c r="AE17" i="1"/>
  <c r="S17" i="1"/>
  <c r="R17" i="1"/>
  <c r="P17" i="1"/>
  <c r="BH16" i="1"/>
  <c r="BC16" i="1"/>
  <c r="BJ16" i="1" s="1"/>
  <c r="BK16" i="1" s="1"/>
  <c r="AU16" i="1"/>
  <c r="AP16" i="1"/>
  <c r="AK16" i="1"/>
  <c r="AH16" i="1"/>
  <c r="AF16" i="1"/>
  <c r="AE16" i="1"/>
  <c r="S16" i="1"/>
  <c r="R16" i="1"/>
  <c r="P16" i="1"/>
  <c r="BJ15" i="1"/>
  <c r="BK15" i="1" s="1"/>
  <c r="BH15" i="1"/>
  <c r="BE15" i="1"/>
  <c r="BQ15" i="1" s="1"/>
  <c r="BC15" i="1"/>
  <c r="BD15" i="1" s="1"/>
  <c r="AZ15" i="1"/>
  <c r="AU15" i="1"/>
  <c r="AP15" i="1"/>
  <c r="AK15" i="1"/>
  <c r="AH15" i="1"/>
  <c r="AF15" i="1"/>
  <c r="AE15" i="1"/>
  <c r="S15" i="1"/>
  <c r="R15" i="1"/>
  <c r="P15" i="1"/>
  <c r="BH14" i="1"/>
  <c r="BC14" i="1"/>
  <c r="BD14" i="1" s="1"/>
  <c r="BE14" i="1" s="1"/>
  <c r="AZ14" i="1"/>
  <c r="AU14" i="1"/>
  <c r="AK14" i="1"/>
  <c r="AH14" i="1"/>
  <c r="AF14" i="1"/>
  <c r="AE14" i="1"/>
  <c r="S14" i="1"/>
  <c r="R14" i="1"/>
  <c r="P14" i="1"/>
  <c r="BJ13" i="1"/>
  <c r="BK13" i="1" s="1"/>
  <c r="BH13" i="1"/>
  <c r="BD13" i="1"/>
  <c r="BE13" i="1" s="1"/>
  <c r="BC13" i="1"/>
  <c r="AU13" i="1"/>
  <c r="AP13" i="1"/>
  <c r="AK13" i="1"/>
  <c r="AH13" i="1"/>
  <c r="AF13" i="1"/>
  <c r="AE13" i="1"/>
  <c r="S13" i="1"/>
  <c r="R13" i="1"/>
  <c r="P13" i="1"/>
  <c r="BH12" i="1"/>
  <c r="BC12" i="1"/>
  <c r="BJ12" i="1" s="1"/>
  <c r="BK12" i="1" s="1"/>
  <c r="AZ12" i="1"/>
  <c r="AU12" i="1"/>
  <c r="AP12" i="1"/>
  <c r="AK12" i="1"/>
  <c r="AH12" i="1"/>
  <c r="AF12" i="1"/>
  <c r="AE12" i="1"/>
  <c r="AA12" i="1"/>
  <c r="S12" i="1"/>
  <c r="R12" i="1"/>
  <c r="P12" i="1"/>
  <c r="BH11" i="1"/>
  <c r="BC11" i="1"/>
  <c r="BJ11" i="1" s="1"/>
  <c r="BK11" i="1" s="1"/>
  <c r="AZ11" i="1"/>
  <c r="AU11" i="1"/>
  <c r="AP11" i="1"/>
  <c r="AK11" i="1"/>
  <c r="AH11" i="1"/>
  <c r="AF11" i="1"/>
  <c r="AE11" i="1"/>
  <c r="S11" i="1"/>
  <c r="R11" i="1"/>
  <c r="P11" i="1"/>
  <c r="CA8" i="1"/>
  <c r="CA7" i="1"/>
  <c r="CA6" i="1"/>
  <c r="CA5" i="1"/>
  <c r="CA4" i="1"/>
  <c r="CA2" i="1"/>
  <c r="CA1" i="1"/>
  <c r="CA3" i="1" s="1"/>
  <c r="BD58" i="1" l="1"/>
  <c r="BE58" i="1" s="1"/>
  <c r="BJ58" i="1"/>
  <c r="BK58" i="1" s="1"/>
  <c r="BQ81" i="1"/>
  <c r="BQ35" i="1"/>
  <c r="BQ50" i="1"/>
  <c r="BQ67" i="1"/>
  <c r="BQ72" i="1"/>
  <c r="BQ84" i="1"/>
  <c r="BQ88" i="1"/>
  <c r="BQ28" i="1"/>
  <c r="BQ37" i="1"/>
  <c r="BQ34" i="1"/>
  <c r="BQ47" i="1"/>
  <c r="BQ59" i="1"/>
  <c r="BQ13" i="1"/>
  <c r="BQ20" i="1"/>
  <c r="BQ64" i="1"/>
  <c r="BJ22" i="1"/>
  <c r="BK22" i="1" s="1"/>
  <c r="BD22" i="1"/>
  <c r="BE22" i="1" s="1"/>
  <c r="BQ22" i="1" s="1"/>
  <c r="BQ23" i="1"/>
  <c r="BD33" i="1"/>
  <c r="BE33" i="1" s="1"/>
  <c r="BJ33" i="1"/>
  <c r="BK33" i="1" s="1"/>
  <c r="BQ43" i="1"/>
  <c r="BQ85" i="1"/>
  <c r="BD78" i="1"/>
  <c r="BE78" i="1" s="1"/>
  <c r="BQ78" i="1" s="1"/>
  <c r="BD93" i="1"/>
  <c r="BE93" i="1" s="1"/>
  <c r="BQ93" i="1" s="1"/>
  <c r="BQ110" i="1"/>
  <c r="BD12" i="1"/>
  <c r="BE12" i="1" s="1"/>
  <c r="BQ12" i="1" s="1"/>
  <c r="BD19" i="1"/>
  <c r="BE19" i="1" s="1"/>
  <c r="BQ19" i="1" s="1"/>
  <c r="BD24" i="1"/>
  <c r="BE24" i="1" s="1"/>
  <c r="BQ24" i="1" s="1"/>
  <c r="BD27" i="1"/>
  <c r="BE27" i="1" s="1"/>
  <c r="BQ27" i="1" s="1"/>
  <c r="BD53" i="1"/>
  <c r="BE53" i="1" s="1"/>
  <c r="BQ53" i="1" s="1"/>
  <c r="BD55" i="1"/>
  <c r="BE55" i="1" s="1"/>
  <c r="BQ55" i="1" s="1"/>
  <c r="BD62" i="1"/>
  <c r="BE62" i="1" s="1"/>
  <c r="BQ62" i="1" s="1"/>
  <c r="BD68" i="1"/>
  <c r="BE68" i="1" s="1"/>
  <c r="BQ68" i="1" s="1"/>
  <c r="BQ99" i="1"/>
  <c r="BD16" i="1"/>
  <c r="BE16" i="1" s="1"/>
  <c r="BQ16" i="1" s="1"/>
  <c r="BJ80" i="1"/>
  <c r="BK80" i="1" s="1"/>
  <c r="BQ80" i="1" s="1"/>
  <c r="BJ81" i="1"/>
  <c r="BK81" i="1" s="1"/>
  <c r="BD11" i="1"/>
  <c r="BE11" i="1" s="1"/>
  <c r="BQ11" i="1" s="1"/>
  <c r="BD21" i="1"/>
  <c r="BE21" i="1" s="1"/>
  <c r="BQ21" i="1" s="1"/>
  <c r="BJ35" i="1"/>
  <c r="BK35" i="1" s="1"/>
  <c r="BD36" i="1"/>
  <c r="BE36" i="1" s="1"/>
  <c r="BQ36" i="1" s="1"/>
  <c r="BD38" i="1"/>
  <c r="BE38" i="1" s="1"/>
  <c r="BQ38" i="1" s="1"/>
  <c r="BD42" i="1"/>
  <c r="BE42" i="1" s="1"/>
  <c r="BQ42" i="1" s="1"/>
  <c r="BJ48" i="1"/>
  <c r="BK48" i="1" s="1"/>
  <c r="BQ48" i="1" s="1"/>
  <c r="BD49" i="1"/>
  <c r="BE49" i="1" s="1"/>
  <c r="BQ49" i="1" s="1"/>
  <c r="BD56" i="1"/>
  <c r="BE56" i="1" s="1"/>
  <c r="BQ56" i="1" s="1"/>
  <c r="BD60" i="1"/>
  <c r="BE60" i="1" s="1"/>
  <c r="BQ60" i="1" s="1"/>
  <c r="BD63" i="1"/>
  <c r="BE63" i="1" s="1"/>
  <c r="BQ63" i="1" s="1"/>
  <c r="BD66" i="1"/>
  <c r="BE66" i="1" s="1"/>
  <c r="BQ66" i="1" s="1"/>
  <c r="BD74" i="1"/>
  <c r="BE74" i="1" s="1"/>
  <c r="BQ74" i="1" s="1"/>
  <c r="BD91" i="1"/>
  <c r="BE91" i="1" s="1"/>
  <c r="BQ91" i="1" s="1"/>
  <c r="BQ97" i="1"/>
  <c r="BJ99" i="1"/>
  <c r="BK99" i="1" s="1"/>
  <c r="BQ103" i="1"/>
  <c r="BJ106" i="1"/>
  <c r="BK106" i="1" s="1"/>
  <c r="BQ106" i="1" s="1"/>
  <c r="BQ89" i="1"/>
  <c r="BD82" i="1"/>
  <c r="BE82" i="1" s="1"/>
  <c r="BQ82" i="1" s="1"/>
  <c r="BJ112" i="1"/>
  <c r="BK112" i="1" s="1"/>
  <c r="BD112" i="1"/>
  <c r="BE112" i="1" s="1"/>
  <c r="BQ112" i="1" s="1"/>
  <c r="BD135" i="1"/>
  <c r="BE135" i="1" s="1"/>
  <c r="BJ135" i="1"/>
  <c r="BK135" i="1" s="1"/>
  <c r="BD31" i="1"/>
  <c r="BE31" i="1" s="1"/>
  <c r="BQ31" i="1" s="1"/>
  <c r="BD51" i="1"/>
  <c r="BE51" i="1" s="1"/>
  <c r="BQ51" i="1" s="1"/>
  <c r="BJ77" i="1"/>
  <c r="BK77" i="1" s="1"/>
  <c r="BQ77" i="1" s="1"/>
  <c r="BJ84" i="1"/>
  <c r="BK84" i="1" s="1"/>
  <c r="BJ85" i="1"/>
  <c r="BK85" i="1" s="1"/>
  <c r="BQ92" i="1"/>
  <c r="BJ14" i="1"/>
  <c r="BK14" i="1" s="1"/>
  <c r="BQ14" i="1" s="1"/>
  <c r="BJ39" i="1"/>
  <c r="BK39" i="1" s="1"/>
  <c r="BQ39" i="1" s="1"/>
  <c r="BJ59" i="1"/>
  <c r="BK59" i="1" s="1"/>
  <c r="BJ65" i="1"/>
  <c r="BK65" i="1" s="1"/>
  <c r="BQ65" i="1" s="1"/>
  <c r="BJ69" i="1"/>
  <c r="BK69" i="1" s="1"/>
  <c r="BQ69" i="1" s="1"/>
  <c r="BJ92" i="1"/>
  <c r="BK92" i="1" s="1"/>
  <c r="BJ95" i="1"/>
  <c r="BK95" i="1" s="1"/>
  <c r="BD95" i="1"/>
  <c r="BE95" i="1" s="1"/>
  <c r="BD96" i="1"/>
  <c r="BE96" i="1" s="1"/>
  <c r="BJ96" i="1"/>
  <c r="BK96" i="1" s="1"/>
  <c r="BD123" i="1"/>
  <c r="BE123" i="1" s="1"/>
  <c r="BQ123" i="1" s="1"/>
  <c r="BD86" i="1"/>
  <c r="BE86" i="1" s="1"/>
  <c r="BQ86" i="1" s="1"/>
  <c r="BQ101" i="1"/>
  <c r="BD46" i="1"/>
  <c r="BE46" i="1" s="1"/>
  <c r="BQ46" i="1" s="1"/>
  <c r="BD44" i="1"/>
  <c r="BE44" i="1" s="1"/>
  <c r="BQ44" i="1" s="1"/>
  <c r="BJ29" i="1"/>
  <c r="BK29" i="1" s="1"/>
  <c r="BQ29" i="1" s="1"/>
  <c r="BQ108" i="1"/>
  <c r="BQ113" i="1"/>
  <c r="BD139" i="1"/>
  <c r="BE139" i="1" s="1"/>
  <c r="BJ139" i="1"/>
  <c r="BK139" i="1" s="1"/>
  <c r="BQ147" i="1"/>
  <c r="BJ104" i="1"/>
  <c r="BK104" i="1" s="1"/>
  <c r="BD104" i="1"/>
  <c r="BE104" i="1" s="1"/>
  <c r="BQ104" i="1" s="1"/>
  <c r="BJ88" i="1"/>
  <c r="BK88" i="1" s="1"/>
  <c r="BJ40" i="1"/>
  <c r="BK40" i="1" s="1"/>
  <c r="BQ40" i="1" s="1"/>
  <c r="BD90" i="1"/>
  <c r="BE90" i="1" s="1"/>
  <c r="BQ90" i="1" s="1"/>
  <c r="BQ107" i="1"/>
  <c r="BJ111" i="1"/>
  <c r="BK111" i="1" s="1"/>
  <c r="BQ111" i="1" s="1"/>
  <c r="BD137" i="1"/>
  <c r="BE137" i="1" s="1"/>
  <c r="BJ137" i="1"/>
  <c r="BK137" i="1" s="1"/>
  <c r="BJ119" i="1"/>
  <c r="BK119" i="1" s="1"/>
  <c r="BD119" i="1"/>
  <c r="BE119" i="1" s="1"/>
  <c r="BQ119" i="1" s="1"/>
  <c r="BQ127" i="1"/>
  <c r="BD148" i="1"/>
  <c r="BE148" i="1" s="1"/>
  <c r="BJ148" i="1"/>
  <c r="BK148" i="1" s="1"/>
  <c r="BD132" i="1"/>
  <c r="BE132" i="1" s="1"/>
  <c r="BJ132" i="1"/>
  <c r="BK132" i="1" s="1"/>
  <c r="BD145" i="1"/>
  <c r="BE145" i="1" s="1"/>
  <c r="BQ145" i="1" s="1"/>
  <c r="BD134" i="1"/>
  <c r="BE134" i="1" s="1"/>
  <c r="BQ134" i="1" s="1"/>
  <c r="BJ134" i="1"/>
  <c r="BK134" i="1" s="1"/>
  <c r="BQ117" i="1"/>
  <c r="BQ100" i="1"/>
  <c r="BD102" i="1"/>
  <c r="BE102" i="1" s="1"/>
  <c r="BQ102" i="1" s="1"/>
  <c r="BJ115" i="1"/>
  <c r="BK115" i="1" s="1"/>
  <c r="BD115" i="1"/>
  <c r="BE115" i="1" s="1"/>
  <c r="BQ115" i="1" s="1"/>
  <c r="BD121" i="1"/>
  <c r="BE121" i="1" s="1"/>
  <c r="BQ121" i="1" s="1"/>
  <c r="BJ129" i="1"/>
  <c r="BK129" i="1" s="1"/>
  <c r="BQ129" i="1" s="1"/>
  <c r="BJ136" i="1"/>
  <c r="BK136" i="1" s="1"/>
  <c r="BQ136" i="1" s="1"/>
  <c r="BD142" i="1"/>
  <c r="BE142" i="1" s="1"/>
  <c r="BJ142" i="1"/>
  <c r="BK142" i="1" s="1"/>
  <c r="BQ149" i="1"/>
  <c r="BQ138" i="1"/>
  <c r="BQ141" i="1"/>
  <c r="BQ153" i="1"/>
  <c r="BQ120" i="1"/>
  <c r="BR120" i="1" s="1"/>
  <c r="BS120" i="1" s="1"/>
  <c r="BQ128" i="1"/>
  <c r="BQ131" i="1"/>
  <c r="BQ144" i="1"/>
  <c r="BQ114" i="1"/>
  <c r="BQ116" i="1"/>
  <c r="BQ126" i="1"/>
  <c r="BQ140" i="1"/>
  <c r="BQ143" i="1"/>
  <c r="BQ152" i="1"/>
  <c r="BD125" i="1"/>
  <c r="BE125" i="1" s="1"/>
  <c r="BQ125" i="1" s="1"/>
  <c r="BQ130" i="1"/>
  <c r="BQ133" i="1"/>
  <c r="BJ151" i="1"/>
  <c r="BK151" i="1" s="1"/>
  <c r="BQ151" i="1" s="1"/>
  <c r="BD155" i="1"/>
  <c r="BE155" i="1" s="1"/>
  <c r="BQ155" i="1" s="1"/>
  <c r="BD157" i="1"/>
  <c r="BE157" i="1" s="1"/>
  <c r="BQ157" i="1" s="1"/>
  <c r="BD159" i="1"/>
  <c r="BE159" i="1" s="1"/>
  <c r="BQ159" i="1" s="1"/>
  <c r="BD150" i="1"/>
  <c r="BE150" i="1" s="1"/>
  <c r="BQ150" i="1" s="1"/>
  <c r="BQ139" i="1" l="1"/>
  <c r="BQ148" i="1"/>
  <c r="BQ135" i="1"/>
  <c r="BQ33" i="1"/>
  <c r="BQ95" i="1"/>
  <c r="BQ96" i="1"/>
  <c r="BR96" i="1" s="1"/>
  <c r="BQ58" i="1"/>
  <c r="BR59" i="1"/>
  <c r="BR112" i="1"/>
  <c r="BQ142" i="1"/>
  <c r="BR142" i="1" s="1"/>
  <c r="BQ132" i="1"/>
  <c r="BQ137" i="1"/>
  <c r="BR146" i="1"/>
  <c r="BR157" i="1" l="1"/>
  <c r="BR88" i="1"/>
  <c r="BR19" i="1"/>
  <c r="BR45" i="1"/>
  <c r="BR99" i="1"/>
  <c r="BR92" i="1"/>
  <c r="BR82" i="1"/>
  <c r="BR86" i="1"/>
  <c r="BR49" i="1"/>
  <c r="BR26" i="1"/>
  <c r="BR33" i="1"/>
  <c r="BR140" i="1"/>
  <c r="BR41" i="1"/>
  <c r="BR122" i="1"/>
  <c r="BR52" i="1"/>
  <c r="BR101" i="1"/>
  <c r="BR159" i="1"/>
  <c r="BR131" i="1"/>
  <c r="BR134" i="1"/>
  <c r="BR34" i="1"/>
  <c r="BR58" i="1"/>
  <c r="BR36" i="1"/>
  <c r="BR23" i="1"/>
  <c r="BR44" i="1"/>
  <c r="BR118" i="1"/>
  <c r="BR127" i="1"/>
  <c r="BR73" i="1"/>
  <c r="BR156" i="1"/>
  <c r="BR84" i="1"/>
  <c r="BR89" i="1"/>
  <c r="BR65" i="1"/>
  <c r="BR29" i="1"/>
  <c r="BR154" i="1"/>
  <c r="BR152" i="1"/>
  <c r="BR25" i="1"/>
  <c r="BR37" i="1"/>
  <c r="BR69" i="1"/>
  <c r="BR46" i="1"/>
  <c r="BR149" i="1"/>
  <c r="BR12" i="1"/>
  <c r="BR38" i="1"/>
  <c r="BR30" i="1"/>
  <c r="BR108" i="1"/>
  <c r="BR64" i="1"/>
  <c r="BR66" i="1"/>
  <c r="BR74" i="1"/>
  <c r="BR75" i="1"/>
  <c r="BR94" i="1"/>
  <c r="BR147" i="1"/>
  <c r="BR55" i="1"/>
  <c r="BR150" i="1"/>
  <c r="BR133" i="1"/>
  <c r="BR20" i="1"/>
  <c r="BR79" i="1"/>
  <c r="BR40" i="1"/>
  <c r="BR93" i="1"/>
  <c r="BR104" i="1"/>
  <c r="BR135" i="1"/>
  <c r="BR115" i="1"/>
  <c r="BR72" i="1"/>
  <c r="BR31" i="1"/>
  <c r="BR28" i="1"/>
  <c r="BR51" i="1"/>
  <c r="BR111" i="1"/>
  <c r="BR136" i="1"/>
  <c r="BR14" i="1"/>
  <c r="BR124" i="1"/>
  <c r="BR27" i="1"/>
  <c r="BR98" i="1"/>
  <c r="BR57" i="1"/>
  <c r="BR80" i="1"/>
  <c r="BR144" i="1"/>
  <c r="BR137" i="1"/>
  <c r="BR105" i="1"/>
  <c r="BR50" i="1"/>
  <c r="BR81" i="1"/>
  <c r="BR22" i="1"/>
  <c r="BR76" i="1"/>
  <c r="BR141" i="1"/>
  <c r="BR62" i="1"/>
  <c r="BR145" i="1"/>
  <c r="BR119" i="1"/>
  <c r="BR114" i="1"/>
  <c r="BR109" i="1"/>
  <c r="BR113" i="1"/>
  <c r="BR15" i="1"/>
  <c r="BR123" i="1"/>
  <c r="BR151" i="1"/>
  <c r="BR83" i="1"/>
  <c r="BR17" i="1"/>
  <c r="BR32" i="1"/>
  <c r="BR121" i="1"/>
  <c r="BR53" i="1"/>
  <c r="BR130" i="1"/>
  <c r="BR42" i="1"/>
  <c r="BR100" i="1"/>
  <c r="BR67" i="1"/>
  <c r="BR91" i="1"/>
  <c r="BR61" i="1"/>
  <c r="BR18" i="1"/>
  <c r="BR132" i="1"/>
  <c r="BR11" i="1"/>
  <c r="BS142" i="1" s="1"/>
  <c r="BR68" i="1"/>
  <c r="BR85" i="1"/>
  <c r="BR78" i="1"/>
  <c r="BR110" i="1"/>
  <c r="BR155" i="1"/>
  <c r="BR21" i="1"/>
  <c r="BR102" i="1"/>
  <c r="BR160" i="1"/>
  <c r="BR107" i="1"/>
  <c r="BR87" i="1"/>
  <c r="BR90" i="1"/>
  <c r="BR71" i="1"/>
  <c r="BR139" i="1"/>
  <c r="BR39" i="1"/>
  <c r="BR54" i="1"/>
  <c r="BR129" i="1"/>
  <c r="BR16" i="1"/>
  <c r="BR128" i="1"/>
  <c r="BR47" i="1"/>
  <c r="BR116" i="1"/>
  <c r="BR143" i="1"/>
  <c r="BR95" i="1"/>
  <c r="BR106" i="1"/>
  <c r="BR13" i="1"/>
  <c r="BR117" i="1"/>
  <c r="BR103" i="1"/>
  <c r="BR138" i="1"/>
  <c r="BR97" i="1"/>
  <c r="BR56" i="1"/>
  <c r="BR63" i="1"/>
  <c r="BR70" i="1"/>
  <c r="BR60" i="1"/>
  <c r="BR125" i="1"/>
  <c r="BR35" i="1"/>
  <c r="BR126" i="1"/>
  <c r="BR43" i="1"/>
  <c r="BR148" i="1"/>
  <c r="BS148" i="1" s="1"/>
  <c r="BR24" i="1"/>
  <c r="BR153" i="1"/>
  <c r="BR77" i="1"/>
  <c r="BR158" i="1"/>
  <c r="BR48" i="1"/>
  <c r="BS21" i="1" l="1"/>
  <c r="BS18" i="1"/>
  <c r="BS79" i="1"/>
  <c r="BS23" i="1"/>
  <c r="BS43" i="1"/>
  <c r="BS61" i="1"/>
  <c r="BS31" i="1"/>
  <c r="BS89" i="1"/>
  <c r="BS126" i="1"/>
  <c r="BS91" i="1"/>
  <c r="BS146" i="1"/>
  <c r="BS124" i="1"/>
  <c r="BS64" i="1"/>
  <c r="BS58" i="1"/>
  <c r="BS99" i="1"/>
  <c r="BS48" i="1"/>
  <c r="BS35" i="1"/>
  <c r="BS103" i="1"/>
  <c r="BS128" i="1"/>
  <c r="BS90" i="1"/>
  <c r="BS78" i="1"/>
  <c r="BS67" i="1"/>
  <c r="BS17" i="1"/>
  <c r="BS119" i="1"/>
  <c r="BS105" i="1"/>
  <c r="BS59" i="1"/>
  <c r="BS115" i="1"/>
  <c r="BS150" i="1"/>
  <c r="BS108" i="1"/>
  <c r="BS25" i="1"/>
  <c r="BS156" i="1"/>
  <c r="BS34" i="1"/>
  <c r="BS140" i="1"/>
  <c r="BS45" i="1"/>
  <c r="BS39" i="1"/>
  <c r="BS113" i="1"/>
  <c r="BS28" i="1"/>
  <c r="BS52" i="1"/>
  <c r="BS116" i="1"/>
  <c r="BS109" i="1"/>
  <c r="BS20" i="1"/>
  <c r="BS92" i="1"/>
  <c r="BS71" i="1"/>
  <c r="BS114" i="1"/>
  <c r="BS72" i="1"/>
  <c r="BS37" i="1"/>
  <c r="BS41" i="1"/>
  <c r="BS158" i="1"/>
  <c r="BS125" i="1"/>
  <c r="BS117" i="1"/>
  <c r="BS16" i="1"/>
  <c r="BS87" i="1"/>
  <c r="BS85" i="1"/>
  <c r="BS100" i="1"/>
  <c r="BS83" i="1"/>
  <c r="BS145" i="1"/>
  <c r="BS137" i="1"/>
  <c r="BS14" i="1"/>
  <c r="BS135" i="1"/>
  <c r="BS55" i="1"/>
  <c r="BS30" i="1"/>
  <c r="BS152" i="1"/>
  <c r="BS73" i="1"/>
  <c r="BS134" i="1"/>
  <c r="BS33" i="1"/>
  <c r="BS19" i="1"/>
  <c r="BS22" i="1"/>
  <c r="BS74" i="1"/>
  <c r="BS82" i="1"/>
  <c r="BS155" i="1"/>
  <c r="BS27" i="1"/>
  <c r="BS66" i="1"/>
  <c r="BS36" i="1"/>
  <c r="BS138" i="1"/>
  <c r="BS110" i="1"/>
  <c r="BS50" i="1"/>
  <c r="BS133" i="1"/>
  <c r="BS84" i="1"/>
  <c r="BS77" i="1"/>
  <c r="BS60" i="1"/>
  <c r="BS13" i="1"/>
  <c r="BS96" i="1"/>
  <c r="BS107" i="1"/>
  <c r="BS68" i="1"/>
  <c r="BS42" i="1"/>
  <c r="BS151" i="1"/>
  <c r="BS62" i="1"/>
  <c r="BS144" i="1"/>
  <c r="BS136" i="1"/>
  <c r="BS104" i="1"/>
  <c r="BS147" i="1"/>
  <c r="BS38" i="1"/>
  <c r="BS127" i="1"/>
  <c r="BS131" i="1"/>
  <c r="BS26" i="1"/>
  <c r="BS88" i="1"/>
  <c r="BS143" i="1"/>
  <c r="BS98" i="1"/>
  <c r="BS46" i="1"/>
  <c r="BS139" i="1"/>
  <c r="BS81" i="1"/>
  <c r="BS122" i="1"/>
  <c r="BS153" i="1"/>
  <c r="BS70" i="1"/>
  <c r="BS129" i="1"/>
  <c r="BS160" i="1"/>
  <c r="BS11" i="1"/>
  <c r="BS130" i="1"/>
  <c r="BS123" i="1"/>
  <c r="BS141" i="1"/>
  <c r="BS80" i="1"/>
  <c r="BS111" i="1"/>
  <c r="BS93" i="1"/>
  <c r="BS94" i="1"/>
  <c r="BS12" i="1"/>
  <c r="BS154" i="1"/>
  <c r="BS118" i="1"/>
  <c r="BS159" i="1"/>
  <c r="BS49" i="1"/>
  <c r="BS157" i="1"/>
  <c r="BS56" i="1"/>
  <c r="BS121" i="1"/>
  <c r="BS65" i="1"/>
  <c r="BS97" i="1"/>
  <c r="BS32" i="1"/>
  <c r="BS69" i="1"/>
  <c r="BS47" i="1"/>
  <c r="BS106" i="1"/>
  <c r="BS24" i="1"/>
  <c r="BS63" i="1"/>
  <c r="BS95" i="1"/>
  <c r="BS54" i="1"/>
  <c r="BS102" i="1"/>
  <c r="BS132" i="1"/>
  <c r="BS53" i="1"/>
  <c r="BS15" i="1"/>
  <c r="BS76" i="1"/>
  <c r="BS57" i="1"/>
  <c r="BS51" i="1"/>
  <c r="BS40" i="1"/>
  <c r="BS75" i="1"/>
  <c r="BS149" i="1"/>
  <c r="BS29" i="1"/>
  <c r="BS44" i="1"/>
  <c r="BS101" i="1"/>
  <c r="BS86" i="1"/>
  <c r="BS112" i="1"/>
  <c r="BT154" i="1" l="1"/>
  <c r="BU154" i="1" s="1"/>
  <c r="BT146" i="1"/>
  <c r="BU146" i="1" s="1"/>
  <c r="BT160" i="1"/>
  <c r="BU160" i="1" s="1"/>
  <c r="BT158" i="1"/>
  <c r="BU158" i="1" s="1"/>
  <c r="BT156" i="1"/>
  <c r="BU156" i="1" s="1"/>
  <c r="BT151" i="1"/>
  <c r="BU151" i="1" s="1"/>
  <c r="BT148" i="1"/>
  <c r="BU148" i="1" s="1"/>
  <c r="BT143" i="1"/>
  <c r="BU143" i="1" s="1"/>
  <c r="BT141" i="1"/>
  <c r="BU141" i="1" s="1"/>
  <c r="BT139" i="1"/>
  <c r="BU139" i="1" s="1"/>
  <c r="BT137" i="1"/>
  <c r="BU137" i="1" s="1"/>
  <c r="BT135" i="1"/>
  <c r="BU135" i="1" s="1"/>
  <c r="BT133" i="1"/>
  <c r="BU133" i="1" s="1"/>
  <c r="BT131" i="1"/>
  <c r="BU131" i="1" s="1"/>
  <c r="BT129" i="1"/>
  <c r="BU129" i="1" s="1"/>
  <c r="BT150" i="1"/>
  <c r="BU150" i="1" s="1"/>
  <c r="BT159" i="1"/>
  <c r="BU159" i="1" s="1"/>
  <c r="BT157" i="1"/>
  <c r="BU157" i="1" s="1"/>
  <c r="BT155" i="1"/>
  <c r="BU155" i="1" s="1"/>
  <c r="BT147" i="1"/>
  <c r="BU147" i="1" s="1"/>
  <c r="BT152" i="1"/>
  <c r="BU152" i="1" s="1"/>
  <c r="BT144" i="1"/>
  <c r="BU144" i="1" s="1"/>
  <c r="BT142" i="1"/>
  <c r="BU142" i="1" s="1"/>
  <c r="BT140" i="1"/>
  <c r="BU140" i="1" s="1"/>
  <c r="BT138" i="1"/>
  <c r="BU138" i="1" s="1"/>
  <c r="BT136" i="1"/>
  <c r="BU136" i="1" s="1"/>
  <c r="BT134" i="1"/>
  <c r="BU134" i="1" s="1"/>
  <c r="BT132" i="1"/>
  <c r="BU132" i="1" s="1"/>
  <c r="BT130" i="1"/>
  <c r="BU130" i="1" s="1"/>
  <c r="BT128" i="1"/>
  <c r="BU128" i="1" s="1"/>
  <c r="BT121" i="1"/>
  <c r="BU121" i="1" s="1"/>
  <c r="BT109" i="1"/>
  <c r="BU109" i="1" s="1"/>
  <c r="BT101" i="1"/>
  <c r="BU101" i="1" s="1"/>
  <c r="BT59" i="1"/>
  <c r="BU59" i="1" s="1"/>
  <c r="BT57" i="1"/>
  <c r="BU57" i="1" s="1"/>
  <c r="BT153" i="1"/>
  <c r="BU153" i="1" s="1"/>
  <c r="BT122" i="1"/>
  <c r="BU122" i="1" s="1"/>
  <c r="BT108" i="1"/>
  <c r="BU108" i="1" s="1"/>
  <c r="BT98" i="1"/>
  <c r="BU98" i="1" s="1"/>
  <c r="BT96" i="1"/>
  <c r="BU96" i="1" s="1"/>
  <c r="BT94" i="1"/>
  <c r="BU94" i="1" s="1"/>
  <c r="BT92" i="1"/>
  <c r="BU92" i="1" s="1"/>
  <c r="BT90" i="1"/>
  <c r="BU90" i="1" s="1"/>
  <c r="BT124" i="1"/>
  <c r="BU124" i="1" s="1"/>
  <c r="BT106" i="1"/>
  <c r="BU106" i="1" s="1"/>
  <c r="BT100" i="1"/>
  <c r="BU100" i="1" s="1"/>
  <c r="BT111" i="1"/>
  <c r="BU111" i="1" s="1"/>
  <c r="BT105" i="1"/>
  <c r="BU105" i="1" s="1"/>
  <c r="BT104" i="1"/>
  <c r="BU104" i="1" s="1"/>
  <c r="BT145" i="1"/>
  <c r="BU145" i="1" s="1"/>
  <c r="BT127" i="1"/>
  <c r="BU127" i="1" s="1"/>
  <c r="BT119" i="1"/>
  <c r="BU119" i="1" s="1"/>
  <c r="BT89" i="1"/>
  <c r="BU89" i="1" s="1"/>
  <c r="BT123" i="1"/>
  <c r="BU123" i="1" s="1"/>
  <c r="BT120" i="1"/>
  <c r="BU120" i="1" s="1"/>
  <c r="BT115" i="1"/>
  <c r="BU115" i="1" s="1"/>
  <c r="BT99" i="1"/>
  <c r="BU99" i="1" s="1"/>
  <c r="BT88" i="1"/>
  <c r="BU88" i="1" s="1"/>
  <c r="BT84" i="1"/>
  <c r="BU84" i="1" s="1"/>
  <c r="BT80" i="1"/>
  <c r="BU80" i="1" s="1"/>
  <c r="BT76" i="1"/>
  <c r="BU76" i="1" s="1"/>
  <c r="BT73" i="1"/>
  <c r="BU73" i="1" s="1"/>
  <c r="BT67" i="1"/>
  <c r="BU67" i="1" s="1"/>
  <c r="BT50" i="1"/>
  <c r="BU50" i="1" s="1"/>
  <c r="BT40" i="1"/>
  <c r="BU40" i="1" s="1"/>
  <c r="BT35" i="1"/>
  <c r="BU35" i="1" s="1"/>
  <c r="BT116" i="1"/>
  <c r="BU116" i="1" s="1"/>
  <c r="BT126" i="1"/>
  <c r="BU126" i="1" s="1"/>
  <c r="BT114" i="1"/>
  <c r="BU114" i="1" s="1"/>
  <c r="BT103" i="1"/>
  <c r="BU103" i="1" s="1"/>
  <c r="BT72" i="1"/>
  <c r="BU72" i="1" s="1"/>
  <c r="BT58" i="1"/>
  <c r="BU58" i="1" s="1"/>
  <c r="BT43" i="1"/>
  <c r="BU43" i="1" s="1"/>
  <c r="BT41" i="1"/>
  <c r="BU41" i="1" s="1"/>
  <c r="BT37" i="1"/>
  <c r="BU37" i="1" s="1"/>
  <c r="BT20" i="1"/>
  <c r="BU20" i="1" s="1"/>
  <c r="BT17" i="1"/>
  <c r="BU17" i="1" s="1"/>
  <c r="BT15" i="1"/>
  <c r="BU15" i="1" s="1"/>
  <c r="BT85" i="1"/>
  <c r="BU85" i="1" s="1"/>
  <c r="BT81" i="1"/>
  <c r="BU81" i="1" s="1"/>
  <c r="BT77" i="1"/>
  <c r="BU77" i="1" s="1"/>
  <c r="BT64" i="1"/>
  <c r="BU64" i="1" s="1"/>
  <c r="BT52" i="1"/>
  <c r="BU52" i="1" s="1"/>
  <c r="BT13" i="1"/>
  <c r="BU13" i="1" s="1"/>
  <c r="BT70" i="1"/>
  <c r="BU70" i="1" s="1"/>
  <c r="BT16" i="1"/>
  <c r="BU16" i="1" s="1"/>
  <c r="BT14" i="1"/>
  <c r="BU14" i="1" s="1"/>
  <c r="BT125" i="1"/>
  <c r="BU125" i="1" s="1"/>
  <c r="BT149" i="1"/>
  <c r="BU149" i="1" s="1"/>
  <c r="BT45" i="1"/>
  <c r="BU45" i="1" s="1"/>
  <c r="BT30" i="1"/>
  <c r="BU30" i="1" s="1"/>
  <c r="BT28" i="1"/>
  <c r="BU28" i="1" s="1"/>
  <c r="BT23" i="1"/>
  <c r="BU23" i="1" s="1"/>
  <c r="BT56" i="1"/>
  <c r="BU56" i="1" s="1"/>
  <c r="BT24" i="1"/>
  <c r="BU24" i="1" s="1"/>
  <c r="BT19" i="1"/>
  <c r="BU19" i="1" s="1"/>
  <c r="BT55" i="1"/>
  <c r="BU55" i="1" s="1"/>
  <c r="BT87" i="1"/>
  <c r="BU87" i="1" s="1"/>
  <c r="BT86" i="1"/>
  <c r="BU86" i="1" s="1"/>
  <c r="BT83" i="1"/>
  <c r="BU83" i="1" s="1"/>
  <c r="BT82" i="1"/>
  <c r="BU82" i="1" s="1"/>
  <c r="BT79" i="1"/>
  <c r="BU79" i="1" s="1"/>
  <c r="BT78" i="1"/>
  <c r="BU78" i="1" s="1"/>
  <c r="BT61" i="1"/>
  <c r="BU61" i="1" s="1"/>
  <c r="BT54" i="1"/>
  <c r="BU54" i="1" s="1"/>
  <c r="BT47" i="1"/>
  <c r="BU47" i="1" s="1"/>
  <c r="BT34" i="1"/>
  <c r="BU34" i="1" s="1"/>
  <c r="BT26" i="1"/>
  <c r="BU26" i="1" s="1"/>
  <c r="BT18" i="1"/>
  <c r="BU18" i="1" s="1"/>
  <c r="BT112" i="1"/>
  <c r="BU112" i="1" s="1"/>
  <c r="BT107" i="1"/>
  <c r="BU107" i="1" s="1"/>
  <c r="BT66" i="1"/>
  <c r="BU66" i="1" s="1"/>
  <c r="BT42" i="1"/>
  <c r="BU42" i="1" s="1"/>
  <c r="BT63" i="1"/>
  <c r="BU63" i="1" s="1"/>
  <c r="BT53" i="1"/>
  <c r="BU53" i="1" s="1"/>
  <c r="BT27" i="1"/>
  <c r="BU27" i="1" s="1"/>
  <c r="BT12" i="1"/>
  <c r="BU12" i="1" s="1"/>
  <c r="BT102" i="1"/>
  <c r="BU102" i="1" s="1"/>
  <c r="BT97" i="1"/>
  <c r="BU97" i="1" s="1"/>
  <c r="BT46" i="1"/>
  <c r="BU46" i="1" s="1"/>
  <c r="BT39" i="1"/>
  <c r="BU39" i="1" s="1"/>
  <c r="BT31" i="1"/>
  <c r="BU31" i="1" s="1"/>
  <c r="BT22" i="1"/>
  <c r="BU22" i="1" s="1"/>
  <c r="BT93" i="1"/>
  <c r="BU93" i="1" s="1"/>
  <c r="BT75" i="1"/>
  <c r="BU75" i="1" s="1"/>
  <c r="BT71" i="1"/>
  <c r="BU71" i="1" s="1"/>
  <c r="BT38" i="1"/>
  <c r="BU38" i="1" s="1"/>
  <c r="BT32" i="1"/>
  <c r="BU32" i="1" s="1"/>
  <c r="BT21" i="1"/>
  <c r="BU21" i="1" s="1"/>
  <c r="BT11" i="1"/>
  <c r="BU11" i="1" s="1"/>
  <c r="BT110" i="1"/>
  <c r="BU110" i="1" s="1"/>
  <c r="BT49" i="1"/>
  <c r="BU49" i="1" s="1"/>
  <c r="BT36" i="1"/>
  <c r="BU36" i="1" s="1"/>
  <c r="BT95" i="1"/>
  <c r="BU95" i="1" s="1"/>
  <c r="BT74" i="1"/>
  <c r="BU74" i="1" s="1"/>
  <c r="BT60" i="1"/>
  <c r="BU60" i="1" s="1"/>
  <c r="BT51" i="1"/>
  <c r="BU51" i="1" s="1"/>
  <c r="BT44" i="1"/>
  <c r="BU44" i="1" s="1"/>
  <c r="BT29" i="1"/>
  <c r="BU29" i="1" s="1"/>
  <c r="BT117" i="1"/>
  <c r="BU117" i="1" s="1"/>
  <c r="BT113" i="1"/>
  <c r="BU113" i="1" s="1"/>
  <c r="BT69" i="1"/>
  <c r="BU69" i="1" s="1"/>
  <c r="BT62" i="1"/>
  <c r="BU62" i="1" s="1"/>
  <c r="BT48" i="1"/>
  <c r="BU48" i="1" s="1"/>
  <c r="BT33" i="1"/>
  <c r="BU33" i="1" s="1"/>
  <c r="BT118" i="1"/>
  <c r="BU118" i="1" s="1"/>
  <c r="BT91" i="1"/>
  <c r="BU91" i="1" s="1"/>
  <c r="BT25" i="1"/>
  <c r="BU25" i="1" s="1"/>
  <c r="BT65" i="1"/>
  <c r="BU65" i="1" s="1"/>
  <c r="BT68" i="1"/>
  <c r="BU6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7061432</author>
    <author>IDE HIROKI (井手 博樹)</author>
    <author>全社標準PC</author>
    <author>tc={409CF2E7-8158-46F5-9F3C-9D52F29BEDAA}</author>
    <author>tc={31E2572E-4881-4397-A6A3-547F7ED54013}</author>
  </authors>
  <commentList>
    <comment ref="BQ10" authorId="0" shapeId="0" xr:uid="{7ADBCC64-A143-404B-AD8D-46E44B3CCABD}">
      <text>
        <r>
          <rPr>
            <b/>
            <sz val="9"/>
            <color indexed="81"/>
            <rFont val="ＭＳ Ｐゴシック"/>
            <family val="3"/>
            <charset val="128"/>
          </rPr>
          <t>2015/9/10 Cの係数を2から10に変えた。
2017/1/7  ﾘﾌﾟﾙと高さが空欄の時に再判定を省くようにした。</t>
        </r>
      </text>
    </comment>
    <comment ref="BR10" authorId="0" shapeId="0" xr:uid="{6657CDF4-1513-466A-BD86-FFA624663CE1}">
      <text>
        <r>
          <rPr>
            <b/>
            <sz val="9"/>
            <color indexed="81"/>
            <rFont val="ＭＳ Ｐゴシック"/>
            <family val="3"/>
            <charset val="128"/>
          </rPr>
          <t>通常同一値なら順位も同じ値になるが、それでは正常ﾘｽﾄ表示されないため、同一値でも登場順に連続順位を振るように処理している。
また、検索品番がﾘｽﾄに表示されないよう、を除外している。=検索品番と等しければ空欄と処理することで。</t>
        </r>
      </text>
    </comment>
    <comment ref="BS10" authorId="0" shapeId="0" xr:uid="{F636640F-607E-45F1-AE89-8263B50DA390}">
      <text>
        <r>
          <rPr>
            <b/>
            <sz val="9"/>
            <color indexed="81"/>
            <rFont val="ＭＳ Ｐゴシック"/>
            <family val="3"/>
            <charset val="128"/>
          </rPr>
          <t>左の列で検索品番を除外したことで、欠番が出て歯抜けﾘｽﾄ表示になってしまうので、ので、再Rankし連番に。</t>
        </r>
      </text>
    </comment>
    <comment ref="X37" authorId="1" shapeId="0" xr:uid="{5AA18933-1DDC-4860-98F2-667CCDD3B52B}">
      <text>
        <r>
          <rPr>
            <b/>
            <sz val="9"/>
            <color indexed="81"/>
            <rFont val="MS P ゴシック"/>
            <family val="2"/>
          </rPr>
          <t>19.7</t>
        </r>
        <r>
          <rPr>
            <b/>
            <sz val="9"/>
            <color indexed="81"/>
            <rFont val="ＭＳ Ｐゴシック"/>
            <family val="3"/>
            <charset val="128"/>
          </rPr>
          <t>から更新</t>
        </r>
      </text>
    </comment>
    <comment ref="V45" authorId="2" shapeId="0" xr:uid="{D0F5A988-DFF9-4036-A748-0419393CE9F7}">
      <text>
        <r>
          <rPr>
            <b/>
            <sz val="9"/>
            <color indexed="81"/>
            <rFont val="ＭＳ Ｐゴシック"/>
            <family val="3"/>
            <charset val="128"/>
          </rPr>
          <t>DCR TypにDCR 10%を加味するとDCR Max。つまり1.1を掛ける。</t>
        </r>
      </text>
    </comment>
    <comment ref="Q94" authorId="1" shapeId="0" xr:uid="{B874C356-4BCF-4A1F-9C26-09E57DC64709}">
      <text>
        <r>
          <rPr>
            <b/>
            <sz val="9"/>
            <color indexed="81"/>
            <rFont val="ＭＳ Ｐゴシック"/>
            <family val="3"/>
            <charset val="128"/>
          </rPr>
          <t>元は15だった</t>
        </r>
      </text>
    </comment>
    <comment ref="X94" authorId="1" shapeId="0" xr:uid="{B8340E0A-FA36-4330-9A45-F903E68F8357}">
      <text>
        <r>
          <rPr>
            <b/>
            <sz val="9"/>
            <color indexed="81"/>
            <rFont val="ＭＳ Ｐゴシック"/>
            <family val="3"/>
            <charset val="128"/>
          </rPr>
          <t>元は7.8だった</t>
        </r>
      </text>
    </comment>
    <comment ref="W120" authorId="0" shapeId="0" xr:uid="{7B7491D1-7135-4792-A4DB-9338F02E6F79}">
      <text>
        <r>
          <rPr>
            <b/>
            <sz val="9"/>
            <color indexed="81"/>
            <rFont val="ＭＳ Ｐゴシック"/>
            <family val="3"/>
            <charset val="128"/>
          </rPr>
          <t>?</t>
        </r>
      </text>
    </comment>
    <comment ref="X120" authorId="3" shapeId="0" xr:uid="{EC949DB4-252B-412C-B198-B38BCC1975C1}">
      <text>
        <r>
          <rPr>
            <sz val="10"/>
            <rFont val="ＭＳ Ｐゴシック"/>
            <family val="3"/>
            <charset val="128"/>
          </rPr>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 になっていたが、文字を入れると、小差順位がエラーになるので、空欄にした。
</t>
        </r>
      </text>
    </comment>
    <comment ref="Z120" authorId="4" shapeId="0" xr:uid="{23922697-601D-4300-AC96-1854944E690F}">
      <text>
        <r>
          <rPr>
            <sz val="10"/>
            <rFont val="ＭＳ Ｐゴシック"/>
            <family val="3"/>
            <charset val="128"/>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 になっていたが、文字を入れると、小差順位がエラーになるので、空欄にした。</t>
        </r>
      </text>
    </comment>
    <comment ref="AA151" authorId="1" shapeId="0" xr:uid="{D53AEA59-1353-4B71-9DCD-99E0A4794EC6}">
      <text>
        <r>
          <rPr>
            <b/>
            <sz val="9"/>
            <color indexed="81"/>
            <rFont val="ＭＳ Ｐゴシック"/>
            <family val="3"/>
            <charset val="128"/>
          </rPr>
          <t>グラフより読み取り</t>
        </r>
      </text>
    </comment>
    <comment ref="X172" authorId="1" shapeId="0" xr:uid="{9AE06EA0-D0C1-4694-84BF-0188255B1DDB}">
      <text>
        <r>
          <rPr>
            <b/>
            <sz val="9"/>
            <color indexed="81"/>
            <rFont val="MS P ゴシック"/>
            <family val="2"/>
          </rPr>
          <t xml:space="preserve">2021/10/11 </t>
        </r>
        <r>
          <rPr>
            <b/>
            <sz val="9"/>
            <color indexed="81"/>
            <rFont val="ＭＳ Ｐゴシック"/>
            <family val="3"/>
            <charset val="128"/>
          </rPr>
          <t>馬場さんに確認済み。</t>
        </r>
      </text>
    </comment>
    <comment ref="X173" authorId="1" shapeId="0" xr:uid="{B6D1144A-B52D-4A5E-91A3-32F8F9AD6DAF}">
      <text>
        <r>
          <rPr>
            <b/>
            <sz val="9"/>
            <color indexed="81"/>
            <rFont val="MS P ゴシック"/>
            <family val="2"/>
          </rPr>
          <t xml:space="preserve">2021/10/11 </t>
        </r>
        <r>
          <rPr>
            <b/>
            <sz val="9"/>
            <color indexed="81"/>
            <rFont val="ＭＳ Ｐゴシック"/>
            <family val="3"/>
            <charset val="128"/>
          </rPr>
          <t>馬場さんに確認済み。</t>
        </r>
      </text>
    </comment>
    <comment ref="X174" authorId="1" shapeId="0" xr:uid="{0331971A-4065-45E8-8B94-32484E12933F}">
      <text>
        <r>
          <rPr>
            <b/>
            <sz val="9"/>
            <color indexed="81"/>
            <rFont val="MS P ゴシック"/>
            <family val="2"/>
          </rPr>
          <t xml:space="preserve">2021/10/11 </t>
        </r>
        <r>
          <rPr>
            <b/>
            <sz val="9"/>
            <color indexed="81"/>
            <rFont val="ＭＳ Ｐゴシック"/>
            <family val="3"/>
            <charset val="128"/>
          </rPr>
          <t>馬場さんに確認済み。</t>
        </r>
      </text>
    </comment>
    <comment ref="Z186" authorId="1" shapeId="0" xr:uid="{B4F7FCAB-A02C-4025-ABA7-15B9050B082F}">
      <text>
        <r>
          <rPr>
            <b/>
            <sz val="9"/>
            <color indexed="81"/>
            <rFont val="MS P ゴシック"/>
            <family val="2"/>
          </rPr>
          <t xml:space="preserve">2021/10/11 </t>
        </r>
        <r>
          <rPr>
            <b/>
            <sz val="9"/>
            <color indexed="81"/>
            <rFont val="ＭＳ Ｐゴシック"/>
            <family val="3"/>
            <charset val="128"/>
          </rPr>
          <t>馬場さんに確認済み。</t>
        </r>
      </text>
    </comment>
    <comment ref="AA186" authorId="2" shapeId="0" xr:uid="{74F32837-A442-4DD5-B359-FDE262D36006}">
      <text>
        <r>
          <rPr>
            <b/>
            <sz val="9"/>
            <color indexed="81"/>
            <rFont val="MS P ゴシック"/>
            <family val="2"/>
          </rPr>
          <t>4/25</t>
        </r>
        <r>
          <rPr>
            <b/>
            <sz val="9"/>
            <color indexed="81"/>
            <rFont val="ＭＳ Ｐゴシック"/>
            <family val="3"/>
            <charset val="128"/>
          </rPr>
          <t>高木さん修正</t>
        </r>
        <r>
          <rPr>
            <sz val="9"/>
            <color indexed="81"/>
            <rFont val="MS P ゴシック"/>
            <family val="2"/>
          </rPr>
          <t xml:space="preserve">
49</t>
        </r>
        <r>
          <rPr>
            <sz val="9"/>
            <color indexed="81"/>
            <rFont val="ＭＳ Ｐゴシック"/>
            <family val="3"/>
            <charset val="128"/>
          </rPr>
          <t>→26A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<sst xmlns="http://schemas.openxmlformats.org/spreadsheetml/2006/main" count="3205" uniqueCount="657">
  <si>
    <t>新 (全ての品番に共通するようになっていた)↓下記$AO$2で関数参照する。</t>
    <rPh sb="0" eb="1">
      <t>シン</t>
    </rPh>
    <rPh sb="3" eb="4">
      <t>スベ</t>
    </rPh>
    <rPh sb="6" eb="8">
      <t>ヒンバン</t>
    </rPh>
    <rPh sb="9" eb="11">
      <t>キョウツウ</t>
    </rPh>
    <rPh sb="23" eb="25">
      <t>カキ</t>
    </rPh>
    <rPh sb="31" eb="33">
      <t>カンスウ</t>
    </rPh>
    <rPh sb="33" eb="35">
      <t>サンショウ</t>
    </rPh>
    <phoneticPr fontId="0"/>
  </si>
  <si>
    <t>Vin</t>
    <phoneticPr fontId="0"/>
  </si>
  <si>
    <t>V</t>
    <phoneticPr fontId="0"/>
  </si>
  <si>
    <t>https://industrial.panasonic.com/ww/products/inductors/automotive-inductors/automotive-inductors/models/</t>
    <phoneticPr fontId="0"/>
  </si>
  <si>
    <t>Vout</t>
    <phoneticPr fontId="0"/>
  </si>
  <si>
    <r>
      <t>L</t>
    </r>
    <r>
      <rPr>
        <sz val="11"/>
        <color theme="1"/>
        <rFont val="ＭＳ ゴシック"/>
        <family val="3"/>
        <charset val="128"/>
      </rPr>
      <t>範囲と</t>
    </r>
    <r>
      <rPr>
        <sz val="11"/>
        <color theme="1"/>
        <rFont val="Arial"/>
        <family val="2"/>
      </rPr>
      <t>I</t>
    </r>
    <r>
      <rPr>
        <sz val="11"/>
        <color theme="1"/>
        <rFont val="ＭＳ ゴシック"/>
        <family val="3"/>
        <charset val="128"/>
      </rPr>
      <t>範囲で表示絞る</t>
    </r>
    <r>
      <rPr>
        <sz val="11"/>
        <color theme="1"/>
        <rFont val="Arial"/>
        <family val="3"/>
      </rPr>
      <t xml:space="preserve"> </t>
    </r>
    <r>
      <rPr>
        <sz val="11"/>
        <color theme="1"/>
        <rFont val="ＭＳ ゴシック"/>
        <family val="3"/>
        <charset val="128"/>
      </rPr>
      <t>…却下。</t>
    </r>
    <r>
      <rPr>
        <sz val="11"/>
        <color theme="1"/>
        <rFont val="Arial"/>
        <family val="2"/>
      </rPr>
      <t>L</t>
    </r>
    <r>
      <rPr>
        <sz val="11"/>
        <color theme="1"/>
        <rFont val="ＭＳ ゴシック"/>
        <family val="3"/>
        <charset val="128"/>
      </rPr>
      <t>値が何も出ないと気付きが得られない。条件書式設定で</t>
    </r>
    <r>
      <rPr>
        <sz val="11"/>
        <color theme="1"/>
        <rFont val="Arial"/>
        <family val="2"/>
      </rPr>
      <t>NG</t>
    </r>
    <r>
      <rPr>
        <sz val="11"/>
        <color theme="1"/>
        <rFont val="ＭＳ ゴシック"/>
        <family val="3"/>
        <charset val="128"/>
      </rPr>
      <t>を示す。</t>
    </r>
  </si>
  <si>
    <t>Mode</t>
    <phoneticPr fontId="0"/>
  </si>
  <si>
    <t>=IF(Q11&gt;='DCDC Ref'!$J$29*'DCDC Ref'!$J$30/100,0,
IF(Q11&lt;='DCDC Ref'!$J$29*'DCDC Ref'!$J$31/100,0,
IF(X11&lt;('DCDC Ref'!$J$24/'DCDC Ref'!$J$27)*'DCDC Ref'!$J$25/100,0,1)))</t>
    <phoneticPr fontId="0"/>
  </si>
  <si>
    <t>Iout</t>
    <phoneticPr fontId="0"/>
  </si>
  <si>
    <t>A</t>
    <phoneticPr fontId="0"/>
  </si>
  <si>
    <r>
      <t>I</t>
    </r>
    <r>
      <rPr>
        <sz val="11"/>
        <color theme="1"/>
        <rFont val="ＭＳ Ｐゴシック"/>
        <family val="2"/>
        <charset val="128"/>
      </rPr>
      <t>範囲で表示絞る</t>
    </r>
    <r>
      <rPr>
        <sz val="11"/>
        <color theme="1"/>
        <rFont val="Arial"/>
        <family val="2"/>
      </rPr>
      <t xml:space="preserve"> </t>
    </r>
    <r>
      <rPr>
        <sz val="11"/>
        <color theme="1"/>
        <rFont val="ＭＳ Ｐゴシック"/>
        <family val="2"/>
        <charset val="128"/>
      </rPr>
      <t>…適用中。多少</t>
    </r>
    <r>
      <rPr>
        <sz val="11"/>
        <color theme="1"/>
        <rFont val="Arial"/>
        <family val="2"/>
      </rPr>
      <t>L</t>
    </r>
    <r>
      <rPr>
        <sz val="11"/>
        <color theme="1"/>
        <rFont val="ＭＳ Ｐゴシック"/>
        <family val="2"/>
        <charset val="128"/>
      </rPr>
      <t>ずれてもいいが、電流値は必須要件。</t>
    </r>
  </si>
  <si>
    <t>Fsw</t>
    <phoneticPr fontId="0"/>
  </si>
  <si>
    <t>kHz</t>
    <phoneticPr fontId="0"/>
  </si>
  <si>
    <t>=IF(X11&lt;('DCDC Ref'!$J$24/'DCDC Ref'!$J$27)*'DCDC Ref'!$J$25/100,0,1)</t>
    <phoneticPr fontId="0"/>
  </si>
  <si>
    <t>L Weight</t>
    <phoneticPr fontId="0"/>
  </si>
  <si>
    <t>Phase</t>
    <phoneticPr fontId="0"/>
  </si>
  <si>
    <t>ph</t>
    <phoneticPr fontId="0"/>
  </si>
  <si>
    <t>o</t>
    <phoneticPr fontId="0"/>
  </si>
  <si>
    <t>x</t>
    <phoneticPr fontId="0"/>
  </si>
  <si>
    <t>I1,I2 Weight</t>
    <phoneticPr fontId="0"/>
  </si>
  <si>
    <t>Ripple</t>
    <phoneticPr fontId="0"/>
  </si>
  <si>
    <t>%</t>
    <phoneticPr fontId="0"/>
  </si>
  <si>
    <r>
      <rPr>
        <sz val="11"/>
        <color theme="1"/>
        <rFont val="ＭＳ Ｐゴシック"/>
        <family val="2"/>
        <charset val="128"/>
      </rPr>
      <t>上記から</t>
    </r>
    <r>
      <rPr>
        <sz val="11"/>
        <color theme="1"/>
        <rFont val="Arial"/>
        <family val="2"/>
      </rPr>
      <t>csv</t>
    </r>
    <r>
      <rPr>
        <sz val="11"/>
        <color theme="1"/>
        <rFont val="ＭＳ Ｐゴシック"/>
        <family val="2"/>
        <charset val="128"/>
      </rPr>
      <t>で</t>
    </r>
    <r>
      <rPr>
        <sz val="11"/>
        <color theme="1"/>
        <rFont val="Arial"/>
        <family val="2"/>
      </rPr>
      <t>Web</t>
    </r>
    <r>
      <rPr>
        <sz val="11"/>
        <color theme="1"/>
        <rFont val="ＭＳ Ｐゴシック"/>
        <family val="2"/>
        <charset val="128"/>
      </rPr>
      <t>公開品</t>
    </r>
    <r>
      <rPr>
        <sz val="11"/>
        <color theme="1"/>
        <rFont val="Arial"/>
        <family val="2"/>
      </rPr>
      <t>(</t>
    </r>
    <r>
      <rPr>
        <sz val="11"/>
        <color theme="1"/>
        <rFont val="ＭＳ Ｐゴシック"/>
        <family val="2"/>
        <charset val="128"/>
      </rPr>
      <t>カタログ品</t>
    </r>
    <r>
      <rPr>
        <sz val="11"/>
        <color theme="1"/>
        <rFont val="Arial"/>
        <family val="2"/>
      </rPr>
      <t>)</t>
    </r>
    <r>
      <rPr>
        <sz val="11"/>
        <color theme="1"/>
        <rFont val="ＭＳ Ｐゴシック"/>
        <family val="2"/>
        <charset val="128"/>
      </rPr>
      <t>の品番リストを</t>
    </r>
    <r>
      <rPr>
        <sz val="11"/>
        <color theme="1"/>
        <rFont val="Arial"/>
        <family val="2"/>
      </rPr>
      <t>DL</t>
    </r>
    <r>
      <rPr>
        <sz val="11"/>
        <color theme="1"/>
        <rFont val="ＭＳ Ｐゴシック"/>
        <family val="2"/>
        <charset val="128"/>
      </rPr>
      <t>し、</t>
    </r>
    <r>
      <rPr>
        <sz val="11"/>
        <color theme="1"/>
        <rFont val="Arial"/>
        <family val="2"/>
      </rPr>
      <t>Part Number</t>
    </r>
    <r>
      <rPr>
        <sz val="11"/>
        <color theme="1"/>
        <rFont val="ＭＳ Ｐゴシック"/>
        <family val="2"/>
        <charset val="128"/>
      </rPr>
      <t>列の最下に貼り付け氏、重複条件付き書式でカタログ品のみへフィルタリングした。</t>
    </r>
  </si>
  <si>
    <t>DCR</t>
    <phoneticPr fontId="0"/>
  </si>
  <si>
    <r>
      <t>I (</t>
    </r>
    <r>
      <rPr>
        <sz val="11"/>
        <color theme="1"/>
        <rFont val="ＭＳ Ｐゴシック"/>
        <family val="3"/>
        <charset val="128"/>
      </rPr>
      <t>⊿</t>
    </r>
    <r>
      <rPr>
        <sz val="11"/>
        <color theme="1"/>
        <rFont val="Arial"/>
        <family val="2"/>
      </rPr>
      <t>T)</t>
    </r>
  </si>
  <si>
    <r>
      <t>I (</t>
    </r>
    <r>
      <rPr>
        <sz val="11"/>
        <color theme="1"/>
        <rFont val="ＭＳ Ｐゴシック"/>
        <family val="2"/>
        <charset val="128"/>
      </rPr>
      <t>⊿</t>
    </r>
    <r>
      <rPr>
        <sz val="11"/>
        <color theme="1"/>
        <rFont val="Arial"/>
        <family val="2"/>
      </rPr>
      <t>T)</t>
    </r>
  </si>
  <si>
    <r>
      <t xml:space="preserve">Isat </t>
    </r>
    <r>
      <rPr>
        <sz val="11"/>
        <color theme="1"/>
        <rFont val="ＭＳ Ｐゴシック"/>
        <family val="2"/>
        <charset val="128"/>
      </rPr>
      <t>⊿</t>
    </r>
    <r>
      <rPr>
        <sz val="11"/>
        <color theme="1"/>
        <rFont val="Arial"/>
        <family val="2"/>
      </rPr>
      <t>L=-30%</t>
    </r>
  </si>
  <si>
    <r>
      <t xml:space="preserve">Isat </t>
    </r>
    <r>
      <rPr>
        <sz val="11"/>
        <color theme="1"/>
        <rFont val="ＭＳ Ｐゴシック"/>
        <family val="2"/>
        <charset val="128"/>
      </rPr>
      <t>⊿</t>
    </r>
    <r>
      <rPr>
        <sz val="11"/>
        <color theme="1"/>
        <rFont val="Arial"/>
        <family val="2"/>
      </rPr>
      <t>L=-20%</t>
    </r>
  </si>
  <si>
    <t>Max Operating Voltage (V)</t>
  </si>
  <si>
    <t>Dimmension (mm)</t>
    <phoneticPr fontId="0"/>
  </si>
  <si>
    <t>Vibration</t>
  </si>
  <si>
    <t>L1(at Ir) *Consumer product only</t>
    <phoneticPr fontId="0"/>
  </si>
  <si>
    <r>
      <rPr>
        <sz val="11"/>
        <color theme="1"/>
        <rFont val="MS UI Gothic"/>
        <family val="2"/>
        <charset val="1"/>
      </rPr>
      <t>※</t>
    </r>
    <r>
      <rPr>
        <sz val="11"/>
        <color theme="1"/>
        <rFont val="Arial"/>
        <family val="2"/>
      </rPr>
      <t>Isat(-30%)</t>
    </r>
    <r>
      <rPr>
        <sz val="11"/>
        <color theme="1"/>
        <rFont val="ＭＳ Ｐゴシック"/>
        <family val="2"/>
        <charset val="128"/>
      </rPr>
      <t>選択中</t>
    </r>
  </si>
  <si>
    <t>L</t>
    <phoneticPr fontId="0"/>
  </si>
  <si>
    <t>I1</t>
    <phoneticPr fontId="0"/>
  </si>
  <si>
    <t>I2</t>
    <phoneticPr fontId="0"/>
  </si>
  <si>
    <t>uH</t>
    <phoneticPr fontId="0"/>
  </si>
  <si>
    <t>↓</t>
    <phoneticPr fontId="0"/>
  </si>
  <si>
    <t xml:space="preserve">Part Number </t>
    <phoneticPr fontId="0"/>
  </si>
  <si>
    <t>L(uH)</t>
    <phoneticPr fontId="0"/>
  </si>
  <si>
    <t>%</t>
    <phoneticPr fontId="0"/>
  </si>
  <si>
    <t>typ(mΩ)</t>
    <phoneticPr fontId="0"/>
  </si>
  <si>
    <t>max(mΩ)</t>
    <phoneticPr fontId="0"/>
  </si>
  <si>
    <t>Tol. (%)</t>
    <phoneticPr fontId="0"/>
  </si>
  <si>
    <t>method B</t>
    <phoneticPr fontId="0"/>
  </si>
  <si>
    <t>method A</t>
    <phoneticPr fontId="0"/>
  </si>
  <si>
    <t>typ(A)</t>
    <phoneticPr fontId="0"/>
  </si>
  <si>
    <t>at Ir</t>
    <phoneticPr fontId="0"/>
  </si>
  <si>
    <r>
      <t>L</t>
    </r>
    <r>
      <rPr>
        <sz val="11"/>
        <color theme="1"/>
        <rFont val="ＭＳ Ｐゴシック"/>
        <family val="2"/>
        <charset val="128"/>
      </rPr>
      <t>値</t>
    </r>
  </si>
  <si>
    <r>
      <t>I rated</t>
    </r>
    <r>
      <rPr>
        <sz val="11"/>
        <color theme="1"/>
        <rFont val="ＭＳ Ｐゴシック"/>
        <family val="2"/>
        <charset val="128"/>
      </rPr>
      <t xml:space="preserve">値 </t>
    </r>
    <r>
      <rPr>
        <sz val="11"/>
        <color theme="1"/>
        <rFont val="Arial"/>
        <family val="2"/>
      </rPr>
      <t>(Method B)</t>
    </r>
  </si>
  <si>
    <r>
      <t>Isat</t>
    </r>
    <r>
      <rPr>
        <sz val="11"/>
        <color theme="1"/>
        <rFont val="ＭＳ Ｐゴシック"/>
        <family val="2"/>
        <charset val="128"/>
      </rPr>
      <t>値</t>
    </r>
    <r>
      <rPr>
        <sz val="11"/>
        <color theme="1"/>
        <rFont val="Arial"/>
        <family val="2"/>
      </rPr>
      <t xml:space="preserve"> (-30%)</t>
    </r>
  </si>
  <si>
    <t>Original Order</t>
    <phoneticPr fontId="0"/>
  </si>
  <si>
    <t>カタログ品</t>
    <rPh sb="4" eb="5">
      <t>ヒン</t>
    </rPh>
    <phoneticPr fontId="0"/>
  </si>
  <si>
    <t>確認メモ</t>
    <rPh sb="0" eb="2">
      <t>カクニン</t>
    </rPh>
    <phoneticPr fontId="0"/>
  </si>
  <si>
    <t>Check</t>
    <phoneticPr fontId="0"/>
  </si>
  <si>
    <t>Renewal Date</t>
    <phoneticPr fontId="0"/>
  </si>
  <si>
    <t>Status</t>
  </si>
  <si>
    <t>Maker</t>
  </si>
  <si>
    <t>Type</t>
  </si>
  <si>
    <t>Core</t>
    <phoneticPr fontId="0"/>
  </si>
  <si>
    <t>Category</t>
  </si>
  <si>
    <t>Feature</t>
    <phoneticPr fontId="0"/>
  </si>
  <si>
    <t>Series</t>
    <phoneticPr fontId="0"/>
  </si>
  <si>
    <t>Series (Size)</t>
    <phoneticPr fontId="0"/>
  </si>
  <si>
    <t>Automotive Grade</t>
    <phoneticPr fontId="0"/>
  </si>
  <si>
    <t>Part Number</t>
  </si>
  <si>
    <r>
      <rPr>
        <sz val="9"/>
        <color theme="1"/>
        <rFont val="ＭＳ Ｐゴシック"/>
        <family val="3"/>
        <charset val="128"/>
      </rPr>
      <t>仮</t>
    </r>
    <r>
      <rPr>
        <sz val="9"/>
        <color theme="1"/>
        <rFont val="Arial"/>
        <family val="2"/>
      </rPr>
      <t>1</t>
    </r>
  </si>
  <si>
    <t>Lo (uH)</t>
    <phoneticPr fontId="0"/>
  </si>
  <si>
    <t>Lo RangeXX</t>
    <phoneticPr fontId="0"/>
  </si>
  <si>
    <t>Lo Range (uH)</t>
    <phoneticPr fontId="0"/>
  </si>
  <si>
    <t>Lo Tol. (%)</t>
    <phoneticPr fontId="0"/>
  </si>
  <si>
    <t>DCR Typ (mOhm)</t>
    <phoneticPr fontId="0"/>
  </si>
  <si>
    <t>DCR Max (mOhm)</t>
    <phoneticPr fontId="0"/>
  </si>
  <si>
    <t>DCR Tol. (%)</t>
    <phoneticPr fontId="0"/>
  </si>
  <si>
    <r>
      <t>Method B (A typ at 40</t>
    </r>
    <r>
      <rPr>
        <sz val="9"/>
        <color theme="0"/>
        <rFont val="ＭＳ Ｐゴシック"/>
        <family val="3"/>
        <charset val="128"/>
      </rPr>
      <t>℃</t>
    </r>
    <r>
      <rPr>
        <sz val="9"/>
        <color theme="0"/>
        <rFont val="Arial"/>
        <family val="2"/>
      </rPr>
      <t>)</t>
    </r>
  </si>
  <si>
    <r>
      <t>Method A (A typ at 40</t>
    </r>
    <r>
      <rPr>
        <sz val="9"/>
        <color theme="0"/>
        <rFont val="ＭＳ Ｐゴシック"/>
        <family val="3"/>
        <charset val="128"/>
      </rPr>
      <t>℃)</t>
    </r>
  </si>
  <si>
    <r>
      <rPr>
        <sz val="7"/>
        <color theme="0"/>
        <rFont val="ＭＳ Ｐゴシック"/>
        <family val="3"/>
        <charset val="128"/>
      </rPr>
      <t>⊿</t>
    </r>
    <r>
      <rPr>
        <sz val="7"/>
        <color theme="0"/>
        <rFont val="Arial"/>
        <family val="2"/>
      </rPr>
      <t>L=-30% 
typ (A)</t>
    </r>
  </si>
  <si>
    <r>
      <rPr>
        <sz val="7"/>
        <color theme="0"/>
        <rFont val="ＭＳ Ｐゴシック"/>
        <family val="3"/>
        <charset val="128"/>
      </rPr>
      <t>⊿</t>
    </r>
    <r>
      <rPr>
        <sz val="7"/>
        <color theme="0"/>
        <rFont val="Arial"/>
        <family val="2"/>
      </rPr>
      <t>L=-20% 
typ (A)</t>
    </r>
  </si>
  <si>
    <t>L (mm)</t>
    <phoneticPr fontId="0"/>
  </si>
  <si>
    <t>W (mm)</t>
    <phoneticPr fontId="0"/>
  </si>
  <si>
    <t>Max Height (mm)</t>
    <phoneticPr fontId="0"/>
  </si>
  <si>
    <t>Area (mm2)</t>
    <phoneticPr fontId="0"/>
  </si>
  <si>
    <t>Size (mm)</t>
    <phoneticPr fontId="0"/>
  </si>
  <si>
    <t>Rough Size (mm)</t>
    <phoneticPr fontId="0"/>
  </si>
  <si>
    <t>Max Height Range (mm)</t>
    <phoneticPr fontId="0"/>
  </si>
  <si>
    <t>Min Temp (deg.C)</t>
    <phoneticPr fontId="0"/>
  </si>
  <si>
    <t>Max Temp (deg.C)</t>
    <phoneticPr fontId="0"/>
  </si>
  <si>
    <t>Temp Range (deg.C)</t>
    <phoneticPr fontId="0"/>
  </si>
  <si>
    <t>Max Voltage (V)</t>
    <phoneticPr fontId="0"/>
  </si>
  <si>
    <t>MPQ</t>
    <phoneticPr fontId="0"/>
  </si>
  <si>
    <t>L1 (uH)</t>
    <phoneticPr fontId="0"/>
  </si>
  <si>
    <t>Rough L1 (uH)</t>
    <phoneticPr fontId="0"/>
  </si>
  <si>
    <t>L1 Tol. (%)</t>
    <phoneticPr fontId="0"/>
  </si>
  <si>
    <t>Ir (A)</t>
    <phoneticPr fontId="0"/>
  </si>
  <si>
    <t>URL</t>
    <phoneticPr fontId="0"/>
  </si>
  <si>
    <t>Image URL</t>
    <phoneticPr fontId="0"/>
  </si>
  <si>
    <t>add3</t>
  </si>
  <si>
    <t>add4</t>
  </si>
  <si>
    <t>add5</t>
  </si>
  <si>
    <t>該非判定</t>
    <rPh sb="0" eb="2">
      <t>ガイヒ</t>
    </rPh>
    <rPh sb="2" eb="4">
      <t>ハンテイ</t>
    </rPh>
    <phoneticPr fontId="0"/>
  </si>
  <si>
    <t>%_Diff_L</t>
  </si>
  <si>
    <t>ABS</t>
  </si>
  <si>
    <t>%_Diff_I</t>
  </si>
  <si>
    <t>NegaDown</t>
  </si>
  <si>
    <t>L+I Weighted</t>
  </si>
  <si>
    <r>
      <rPr>
        <b/>
        <sz val="8"/>
        <rFont val="Arial Unicode MS"/>
        <family val="3"/>
        <charset val="128"/>
      </rPr>
      <t>小差順位</t>
    </r>
    <r>
      <rPr>
        <b/>
        <sz val="8"/>
        <rFont val="Arial"/>
        <family val="2"/>
      </rPr>
      <t>(</t>
    </r>
    <r>
      <rPr>
        <b/>
        <sz val="8"/>
        <rFont val="Arial Unicode MS"/>
        <family val="3"/>
        <charset val="128"/>
      </rPr>
      <t>同一値も連番</t>
    </r>
    <r>
      <rPr>
        <b/>
        <sz val="8"/>
        <rFont val="Arial"/>
        <family val="2"/>
      </rPr>
      <t>)</t>
    </r>
  </si>
  <si>
    <r>
      <rPr>
        <b/>
        <sz val="10"/>
        <rFont val="Arial Unicode MS"/>
        <family val="3"/>
        <charset val="128"/>
      </rPr>
      <t>除外後順位</t>
    </r>
  </si>
  <si>
    <r>
      <rPr>
        <b/>
        <sz val="10"/>
        <rFont val="Arial Unicode MS"/>
        <family val="3"/>
        <charset val="128"/>
      </rPr>
      <t>一致一覧</t>
    </r>
  </si>
  <si>
    <r>
      <rPr>
        <b/>
        <sz val="10"/>
        <rFont val="Arial Unicode MS"/>
        <family val="3"/>
        <charset val="128"/>
      </rPr>
      <t>提案表示</t>
    </r>
  </si>
  <si>
    <t>〇</t>
    <phoneticPr fontId="0"/>
  </si>
  <si>
    <t>OK</t>
    <phoneticPr fontId="0"/>
  </si>
  <si>
    <t>MP</t>
    <phoneticPr fontId="0"/>
  </si>
  <si>
    <t>Panasonic</t>
  </si>
  <si>
    <t>SMD</t>
  </si>
  <si>
    <t>Metal Composite</t>
  </si>
  <si>
    <t>PCC</t>
  </si>
  <si>
    <t>High Isat (Standard)</t>
    <phoneticPr fontId="0"/>
  </si>
  <si>
    <t>5M-YLC</t>
  </si>
  <si>
    <t>PCC-M1050ML</t>
    <phoneticPr fontId="0"/>
  </si>
  <si>
    <t>Yes</t>
    <phoneticPr fontId="0"/>
  </si>
  <si>
    <t>ETQP5MR33YLC</t>
  </si>
  <si>
    <t>10 x 10</t>
  </si>
  <si>
    <t>-</t>
    <phoneticPr fontId="0"/>
  </si>
  <si>
    <t>https://industrial.panasonic.com/ww/products/pt/automotive-inductors/models/ETQP5MR33YLC</t>
  </si>
  <si>
    <t>https://industrial.panasonic.com/content/data/CC/pictures/lineup-Metal-core.gif</t>
    <phoneticPr fontId="0"/>
  </si>
  <si>
    <r>
      <t>2023/3/10MP,  2022/5/27 UD</t>
    </r>
    <r>
      <rPr>
        <sz val="11"/>
        <color theme="1"/>
        <rFont val="ＭＳ Ｐゴシック"/>
        <family val="2"/>
        <charset val="128"/>
      </rPr>
      <t>扱いへ</t>
    </r>
    <r>
      <rPr>
        <sz val="11"/>
        <color theme="1"/>
        <rFont val="Arial"/>
        <family val="2"/>
      </rPr>
      <t>(</t>
    </r>
    <r>
      <rPr>
        <sz val="11"/>
        <color theme="1"/>
        <rFont val="ＭＳ Ｐゴシック"/>
        <family val="2"/>
        <charset val="128"/>
      </rPr>
      <t>誤記だったとのこと</t>
    </r>
    <r>
      <rPr>
        <sz val="11"/>
        <color theme="1"/>
        <rFont val="Arial"/>
        <family val="2"/>
      </rPr>
      <t>)</t>
    </r>
    <r>
      <rPr>
        <sz val="11"/>
        <color theme="1"/>
        <rFont val="ＭＳ Ｐゴシック"/>
        <family val="2"/>
        <charset val="128"/>
      </rPr>
      <t>。</t>
    </r>
    <r>
      <rPr>
        <sz val="11"/>
        <color theme="1"/>
        <rFont val="Arial"/>
        <family val="2"/>
      </rPr>
      <t>2022/1/12 MP</t>
    </r>
    <r>
      <rPr>
        <sz val="11"/>
        <color theme="1"/>
        <rFont val="ＭＳ Ｐゴシック"/>
        <family val="2"/>
        <charset val="128"/>
      </rPr>
      <t>カタログ扱いへ。</t>
    </r>
    <r>
      <rPr>
        <sz val="11"/>
        <color theme="1"/>
        <rFont val="Arial"/>
        <family val="2"/>
      </rPr>
      <t>2021/11/12</t>
    </r>
    <r>
      <rPr>
        <sz val="10"/>
        <rFont val="ＭＳ Ｐゴシック"/>
        <family val="3"/>
        <charset val="128"/>
      </rPr>
      <t>カタログUD 扱い。2021/3/23追加。</t>
    </r>
  </si>
  <si>
    <r>
      <t>High Current (</t>
    </r>
    <r>
      <rPr>
        <sz val="11"/>
        <color theme="1"/>
        <rFont val="ＭＳ Ｐゴシック"/>
        <family val="3"/>
        <charset val="128"/>
      </rPr>
      <t>≥□12)</t>
    </r>
  </si>
  <si>
    <t>8M-JFA</t>
  </si>
  <si>
    <t>PCC-M1280MF</t>
    <phoneticPr fontId="0"/>
  </si>
  <si>
    <t>ETQP8MR33JFA</t>
    <phoneticPr fontId="0"/>
  </si>
  <si>
    <t>12 x 12</t>
  </si>
  <si>
    <r>
      <t>15G</t>
    </r>
    <r>
      <rPr>
        <sz val="11"/>
        <color theme="1"/>
        <rFont val="ＭＳ Ｐゴシック"/>
        <family val="3"/>
        <charset val="128"/>
      </rPr>
      <t>と聞いたがカタログは30G</t>
    </r>
  </si>
  <si>
    <t>https://industrial.panasonic.com/ww/products/pt/automotive-inductors/models/ETQP8MR33JFA</t>
  </si>
  <si>
    <t>https://industrial.panasonic.com/content/data/CC/pictures/lineup-Large%20current.gif</t>
    <phoneticPr fontId="0"/>
  </si>
  <si>
    <t>LP (Low Profile)</t>
    <phoneticPr fontId="0"/>
  </si>
  <si>
    <t>3M-KVP</t>
  </si>
  <si>
    <t>PCC-M0530M-LP</t>
    <phoneticPr fontId="0"/>
  </si>
  <si>
    <t>ETQP3MR33KVP</t>
    <phoneticPr fontId="0"/>
  </si>
  <si>
    <t>_5 x 5</t>
    <phoneticPr fontId="0"/>
  </si>
  <si>
    <t>https://industrial.panasonic.com/ww/products/pt/automotive-inductors/models/ETQP3MR33KVP</t>
  </si>
  <si>
    <t>https://industrial.panasonic.com/content/data/CC/pictures/lineup-LP.gif</t>
    <phoneticPr fontId="0"/>
  </si>
  <si>
    <t>LP (Low Profile)</t>
  </si>
  <si>
    <t>PCC-M0530M-LP</t>
  </si>
  <si>
    <t>ETQP3MR47KVP</t>
    <phoneticPr fontId="0"/>
  </si>
  <si>
    <t>-</t>
  </si>
  <si>
    <t>https://industrial.panasonic.com/ww/products/pt/automotive-inductors/models/ETQP3MR47KVP</t>
  </si>
  <si>
    <r>
      <t>2022/6/30</t>
    </r>
    <r>
      <rPr>
        <sz val="11"/>
        <color theme="1"/>
        <rFont val="ＭＳ Ｐゴシック"/>
        <family val="2"/>
        <charset val="128"/>
      </rPr>
      <t>カタログ追加</t>
    </r>
  </si>
  <si>
    <t>4M-KLC</t>
    <phoneticPr fontId="0"/>
  </si>
  <si>
    <t>PCC-M1040ML</t>
    <phoneticPr fontId="0"/>
  </si>
  <si>
    <t>ETQP4MR47KLC</t>
    <phoneticPr fontId="0"/>
  </si>
  <si>
    <t>10 x 10</t>
    <phoneticPr fontId="0"/>
  </si>
  <si>
    <t>https://industrial.panasonic.com/ww/products/pt/automotive-inductors/models/ETQP4MR47KLC</t>
  </si>
  <si>
    <t>3M-YFN</t>
  </si>
  <si>
    <t>PCC-M0630M</t>
    <phoneticPr fontId="0"/>
  </si>
  <si>
    <t>Yes</t>
  </si>
  <si>
    <t>ETQP3MR68YFN</t>
    <phoneticPr fontId="0"/>
  </si>
  <si>
    <t>_6 x 6</t>
    <phoneticPr fontId="0"/>
  </si>
  <si>
    <t>https://industrial.panasonic.com/ww/products/pt/automotive-inductors/models/ETQP3MR68YFN</t>
  </si>
  <si>
    <t>ETQP5MR68YLC</t>
  </si>
  <si>
    <t>https://industrial.panasonic.com/ww/products/pt/automotive-inductors/models/ETQP5MR68YLC</t>
  </si>
  <si>
    <t>ETQP8MR68JFA</t>
  </si>
  <si>
    <t>https://industrial.panasonic.com/ww/products/pt/automotive-inductors/models/ETQP8MR68JFA</t>
  </si>
  <si>
    <t>ETQP3MR68KVP</t>
  </si>
  <si>
    <t>https://industrial.panasonic.com/ww/products/pt/automotive-inductors/models/ETQP3MR68KVP</t>
  </si>
  <si>
    <t>3M-KVN</t>
  </si>
  <si>
    <t>PCC-M0630M-LP</t>
    <phoneticPr fontId="0"/>
  </si>
  <si>
    <t>ETQP3MR68KVN</t>
  </si>
  <si>
    <t>https://industrial.panasonic.com/ww/products/pt/automotive-inductors/models/ETQP3MR68KVN</t>
  </si>
  <si>
    <t>4M-KVK</t>
  </si>
  <si>
    <t>PCC-M0840M-LP</t>
    <phoneticPr fontId="0"/>
  </si>
  <si>
    <t>ETQP4MR68KVK</t>
  </si>
  <si>
    <t>_8 x 8</t>
    <phoneticPr fontId="0"/>
  </si>
  <si>
    <t>https://industrial.panasonic.com/ww/products/pt/automotive-inductors/models/ETQP4MR68KVK</t>
  </si>
  <si>
    <t>High Anti-vibration</t>
  </si>
  <si>
    <t>5M-YSC</t>
  </si>
  <si>
    <t>PCC-M1050MS</t>
    <phoneticPr fontId="0"/>
  </si>
  <si>
    <t>ETQP5MR68YSC</t>
  </si>
  <si>
    <t>https://industrial.panasonic.com/ww/products/pt/automotive-inductors/models/ETQP5MR68YSC</t>
  </si>
  <si>
    <t>https://industrial.panasonic.com/content/data/CC/pictures/lineup-High%20Vibration%20Acceleration.gif</t>
    <phoneticPr fontId="0"/>
  </si>
  <si>
    <t>ETQP3M1R0YFN</t>
  </si>
  <si>
    <t>https://industrial.panasonic.com/ww/products/pt/automotive-inductors/models/ETQP3M1R0YFN</t>
  </si>
  <si>
    <t>ETQP5M1R0YLC</t>
  </si>
  <si>
    <t>https://industrial.panasonic.com/ww/products/pt/automotive-inductors/models/ETQP5M1R0YLC</t>
  </si>
  <si>
    <t>ETQP8M1R0JFA</t>
  </si>
  <si>
    <t>https://industrial.panasonic.com/ww/products/pt/automotive-inductors/models/ETQP8M1R0JFA</t>
  </si>
  <si>
    <t>ETQP3M1R0KVP</t>
  </si>
  <si>
    <t>https://industrial.panasonic.com/ww/products/pt/automotive-inductors/models/ETQP3M1R0KVP</t>
  </si>
  <si>
    <t>ETQP3M1R0KVN</t>
  </si>
  <si>
    <t>https://industrial.panasonic.com/ww/products/pt/automotive-inductors/models/ETQP3M1R0KVN</t>
  </si>
  <si>
    <t>ETQP4M1R0KVK</t>
  </si>
  <si>
    <t>https://industrial.panasonic.com/ww/products/pt/automotive-inductors/models/ETQP4M1R0KVK</t>
  </si>
  <si>
    <t>4M-KVC</t>
  </si>
  <si>
    <t>PCC-M1040M-LP</t>
    <phoneticPr fontId="0"/>
  </si>
  <si>
    <t>ETQP4M1R0KVC</t>
  </si>
  <si>
    <t>https://industrial.panasonic.com/ww/products/pt/automotive-inductors/models/ETQP4M1R0KVC</t>
  </si>
  <si>
    <t>5M-YFC</t>
  </si>
  <si>
    <t>PCC-M1054M</t>
    <phoneticPr fontId="0"/>
  </si>
  <si>
    <t>ETQP5M1R5YFC</t>
  </si>
  <si>
    <t>https://industrial.panasonic.com/ww/products/pt/automotive-inductors/models/ETQP5M1R5YFC</t>
  </si>
  <si>
    <t>6M-YLC</t>
  </si>
  <si>
    <t>PCC-M1060ML</t>
    <phoneticPr fontId="0"/>
  </si>
  <si>
    <t>ETQP6M1R5YLC</t>
  </si>
  <si>
    <t>https://industrial.panasonic.com/ww/products/pt/automotive-inductors/models/ETQP6M1R5YLC</t>
  </si>
  <si>
    <t>ETQP8M1R5JFA</t>
  </si>
  <si>
    <t>https://industrial.panasonic.com/ww/products/pt/automotive-inductors/models/ETQP8M1R5JFA</t>
  </si>
  <si>
    <t>ETQP3M1R5KVP</t>
  </si>
  <si>
    <t>https://industrial.panasonic.com/ww/products/pt/automotive-inductors/models/ETQP3M1R5KVP</t>
  </si>
  <si>
    <t>ETQP3M1R5KVN</t>
  </si>
  <si>
    <t>https://industrial.panasonic.com/ww/products/pt/automotive-inductors/models/ETQP3M1R5KVN</t>
  </si>
  <si>
    <t>ETQP4M1R5KVK</t>
  </si>
  <si>
    <t>https://industrial.panasonic.com/ww/products/pt/automotive-inductors/models/ETQP4M1R5KVK</t>
  </si>
  <si>
    <t>ETQP4M1R5KVC</t>
  </si>
  <si>
    <t>https://industrial.panasonic.com/ww/products/pt/automotive-inductors/models/ETQP4M1R5KVC</t>
  </si>
  <si>
    <r>
      <t xml:space="preserve">2021/11/12 </t>
    </r>
    <r>
      <rPr>
        <sz val="10"/>
        <rFont val="ＭＳ Ｐゴシック"/>
        <family val="3"/>
        <charset val="128"/>
      </rPr>
      <t>カタログ追加。2021/3/23追加。</t>
    </r>
  </si>
  <si>
    <t>ETQP5M2R0YSC</t>
    <phoneticPr fontId="0"/>
  </si>
  <si>
    <t>https://industrial.panasonic.com/ww/products/pt/automotive-inductors/models/ETQP5M2R0YSC</t>
  </si>
  <si>
    <t>ETQP5M2R0YLC</t>
  </si>
  <si>
    <t>https://industrial.panasonic.com/ww/products/pt/automotive-inductors/models/ETQP5M2R0YLC</t>
  </si>
  <si>
    <t>3M-YFP</t>
  </si>
  <si>
    <t>PCC-M0530M</t>
    <phoneticPr fontId="0"/>
  </si>
  <si>
    <t>ETQP3M2R2YFP</t>
    <phoneticPr fontId="0"/>
  </si>
  <si>
    <t>https://industrial.panasonic.com/ww/products/pt/automotive-inductors/models/ETQP3M2R2YFP</t>
  </si>
  <si>
    <t>ETQP3M2R2KVP</t>
  </si>
  <si>
    <t>https://industrial.panasonic.com/ww/products/pt/automotive-inductors/models/ETQP3M2R2KVP</t>
  </si>
  <si>
    <t>ETQP3M2R2KVN</t>
  </si>
  <si>
    <t>https://industrial.panasonic.com/ww/products/pt/automotive-inductors/models/ETQP3M2R2KVN</t>
  </si>
  <si>
    <t>ETQP4M2R2KVK</t>
  </si>
  <si>
    <t>https://industrial.panasonic.com/ww/products/pt/automotive-inductors/models/ETQP4M2R2KVK</t>
  </si>
  <si>
    <t>ETQP4M2R2KVC</t>
  </si>
  <si>
    <t>https://industrial.panasonic.com/ww/products/pt/automotive-inductors/models/ETQP4M2R2KVC</t>
  </si>
  <si>
    <t>High Frequency</t>
    <phoneticPr fontId="0"/>
  </si>
  <si>
    <t>3M-HFP</t>
  </si>
  <si>
    <t>PCC-M0530M-H</t>
    <phoneticPr fontId="0"/>
  </si>
  <si>
    <t>ETQP3M2R2HFP</t>
    <phoneticPr fontId="0"/>
  </si>
  <si>
    <t>https://industrial.panasonic.com/ww/products/pt/automotive-inductors/models/ETQP3M2R2HFP</t>
  </si>
  <si>
    <t>https://industrial.panasonic.com/content/data/CC/pictures/lineup-H.gif</t>
    <phoneticPr fontId="0"/>
  </si>
  <si>
    <t>4M-YFN</t>
  </si>
  <si>
    <t>PCC-M0645M</t>
  </si>
  <si>
    <t>ETQP4M2R2YFN</t>
    <phoneticPr fontId="0"/>
  </si>
  <si>
    <t>https://industrial.panasonic.com/ww/products/pt/automotive-inductors/models/ETQP4M2R2YFN</t>
  </si>
  <si>
    <t>5M-YSK</t>
  </si>
  <si>
    <t>PCC-M0854MS</t>
    <phoneticPr fontId="0"/>
  </si>
  <si>
    <t>ETQP5M2R5YSK</t>
    <phoneticPr fontId="0"/>
  </si>
  <si>
    <t>https://industrial.panasonic.com/ww/products/pt/automotive-inductors/models/ETQP5M2R5YSK</t>
  </si>
  <si>
    <t>ETQP5M2R5YFC</t>
  </si>
  <si>
    <t>https://industrial.panasonic.com/ww/products/pt/automotive-inductors/models/ETQP5M2R5YFC</t>
  </si>
  <si>
    <t>5M-YFK</t>
  </si>
  <si>
    <t>PCC-M0854M</t>
    <phoneticPr fontId="0"/>
  </si>
  <si>
    <t>ETQP5M2R5YFK</t>
  </si>
  <si>
    <t>https://industrial.panasonic.com/ww/products/pt/automotive-inductors/models/ETQP5M2R5YFK</t>
  </si>
  <si>
    <t>ETQP6M2R5YLC</t>
  </si>
  <si>
    <t>https://industrial.panasonic.com/ww/products/pt/automotive-inductors/models/ETQP6M2R5YLC</t>
  </si>
  <si>
    <t>ETQP8M2R5JFA</t>
  </si>
  <si>
    <t>https://industrial.panasonic.com/ww/products/pt/automotive-inductors/models/ETQP8M2R5JFA</t>
  </si>
  <si>
    <t>PCC-M0645M</t>
    <phoneticPr fontId="0"/>
  </si>
  <si>
    <t>ETQP4M3R3YFN</t>
  </si>
  <si>
    <t>https://industrial.panasonic.com/ww/products/pt/automotive-inductors/models/ETQP4M3R3YFN</t>
  </si>
  <si>
    <t>ETQP3M3R3YFP</t>
  </si>
  <si>
    <t>https://industrial.panasonic.com/ww/products/pt/automotive-inductors/models/ETQP3M3R3YFP</t>
  </si>
  <si>
    <t>ETQP5M3R3YFC</t>
  </si>
  <si>
    <t>https://industrial.panasonic.com/ww/products/pt/automotive-inductors/models/ETQP5M3R3YFC</t>
  </si>
  <si>
    <t>ETQP6M3R3YLC</t>
  </si>
  <si>
    <t>https://industrial.panasonic.com/ww/products/pt/automotive-inductors/models/ETQP6M3R3YLC</t>
  </si>
  <si>
    <t>ETQP8M3R3JFA</t>
  </si>
  <si>
    <t>https://industrial.panasonic.com/ww/products/pt/automotive-inductors/models/ETQP8M3R3JFA</t>
  </si>
  <si>
    <t>ETQP3M3R3KVP</t>
  </si>
  <si>
    <t>https://industrial.panasonic.com/ww/products/pt/automotive-inductors/models/ETQP3M3R3KVP</t>
  </si>
  <si>
    <t>ETQP3M3R3KVN</t>
  </si>
  <si>
    <t>https://industrial.panasonic.com/ww/products/pt/automotive-inductors/models/ETQP3M3R3KVN</t>
  </si>
  <si>
    <t>ETQP4M3R3KVK</t>
  </si>
  <si>
    <t>https://industrial.panasonic.com/ww/products/pt/automotive-inductors/models/ETQP4M3R3KVK</t>
  </si>
  <si>
    <t>ETQP4M3R3KVC</t>
  </si>
  <si>
    <t>https://industrial.panasonic.com/ww/products/pt/automotive-inductors/models/ETQP4M3R3KVC</t>
  </si>
  <si>
    <t>LE (Low Price)</t>
    <phoneticPr fontId="0"/>
  </si>
  <si>
    <t>4M-KFN</t>
  </si>
  <si>
    <t>PCC-M0648M-LE</t>
    <phoneticPr fontId="0"/>
  </si>
  <si>
    <t>ETQP4M3R3KFN</t>
  </si>
  <si>
    <t>https://industrial.panasonic.com/ww/products/pt/automotive-inductors/models/ETQP4M3R3KFN</t>
  </si>
  <si>
    <t>https://industrial.panasonic.com/content/data/CC/pictures/lineup-LE.gif</t>
    <phoneticPr fontId="0"/>
  </si>
  <si>
    <t>5M-YFM</t>
  </si>
  <si>
    <t>PCC-M0754M</t>
  </si>
  <si>
    <t>ETQP5M3R3YFM</t>
    <phoneticPr fontId="0"/>
  </si>
  <si>
    <t>_7 x 7</t>
    <phoneticPr fontId="0"/>
  </si>
  <si>
    <t>https://industrial.panasonic.com/ww/products/pt/automotive-inductors/models/ETQP5M3R3YFM</t>
  </si>
  <si>
    <t>PCC-M0854M</t>
  </si>
  <si>
    <t>ETQP5M3R3YFK</t>
    <phoneticPr fontId="0"/>
  </si>
  <si>
    <t>https://industrial.panasonic.com/ww/products/pt/automotive-inductors/models/ETQP5M3R3YFK</t>
  </si>
  <si>
    <t>5M-YGC</t>
    <phoneticPr fontId="0"/>
  </si>
  <si>
    <t>PCC-M1050M</t>
    <phoneticPr fontId="0"/>
  </si>
  <si>
    <t>ETQP5M3R3YGC</t>
    <phoneticPr fontId="0"/>
  </si>
  <si>
    <t>https://industrial.panasonic.com/ww/products/pt/automotive-inductors/models/ETQP5M3R3YGC</t>
  </si>
  <si>
    <t>4M-YFP</t>
  </si>
  <si>
    <t>PCC-M0540M</t>
    <phoneticPr fontId="0"/>
  </si>
  <si>
    <t>ETQP4M4R7YFP</t>
  </si>
  <si>
    <t>https://industrial.panasonic.com/ww/products/pt/automotive-inductors/models/ETQP4M4R7YFP</t>
  </si>
  <si>
    <t>ETQP5M4R7YFC</t>
  </si>
  <si>
    <t>https://industrial.panasonic.com/ww/products/pt/automotive-inductors/models/ETQP5M4R7YFC</t>
  </si>
  <si>
    <t>PCC-M0754M</t>
    <phoneticPr fontId="0"/>
  </si>
  <si>
    <t>ETQP5M4R7YFM</t>
  </si>
  <si>
    <t>https://industrial.panasonic.com/ww/products/pt/automotive-inductors/models/ETQP5M4R7YFM</t>
  </si>
  <si>
    <t>ETQP6M4R7YLC</t>
  </si>
  <si>
    <t>https://industrial.panasonic.com/ww/products/pt/automotive-inductors/models/ETQP6M4R7YLC</t>
  </si>
  <si>
    <t>ETQP8M4R7JFA</t>
  </si>
  <si>
    <t>https://industrial.panasonic.com/ww/products/pt/automotive-inductors/models/ETQP8M4R7JFA</t>
  </si>
  <si>
    <t>ETQP3M4R7KVP</t>
  </si>
  <si>
    <t>https://industrial.panasonic.com/ww/products/pt/automotive-inductors/models/ETQP3M4R7KVP</t>
  </si>
  <si>
    <t>ETQP3M4R7KVN</t>
  </si>
  <si>
    <t>https://industrial.panasonic.com/ww/products/pt/automotive-inductors/models/ETQP3M4R7KVN</t>
  </si>
  <si>
    <t>ETQP4M4R7KVK</t>
  </si>
  <si>
    <t>https://industrial.panasonic.com/ww/products/pt/automotive-inductors/models/ETQP4M4R7KVK</t>
  </si>
  <si>
    <t>ETQP4M4R7KVC</t>
  </si>
  <si>
    <t>https://industrial.panasonic.com/ww/products/pt/automotive-inductors/models/ETQP4M4R7KVC</t>
  </si>
  <si>
    <t>ETQP4M4R7KFN</t>
  </si>
  <si>
    <t>https://industrial.panasonic.com/ww/products/pt/automotive-inductors/models/ETQP4M4R7KFN</t>
  </si>
  <si>
    <t>4M-KFM</t>
  </si>
  <si>
    <t>PCC-M0748M-LE</t>
    <phoneticPr fontId="0"/>
  </si>
  <si>
    <t>ETQP4M4R7KFM</t>
  </si>
  <si>
    <t>https://industrial.panasonic.com/ww/products/pt/automotive-inductors/models/ETQP4M4R7KFM</t>
  </si>
  <si>
    <t>ETQP4M6R8YFN</t>
  </si>
  <si>
    <t>https://industrial.panasonic.com/ww/products/pt/automotive-inductors/models/ETQP4M6R8YFN</t>
  </si>
  <si>
    <t>ETQP5M6R8YFM</t>
  </si>
  <si>
    <t>https://industrial.panasonic.com/ww/products/pt/automotive-inductors/models/ETQP5M6R8YFM</t>
  </si>
  <si>
    <t>ETQP3M6R8KVP</t>
  </si>
  <si>
    <t>https://industrial.panasonic.com/ww/products/pt/automotive-inductors/models/ETQP3M6R8KVP</t>
  </si>
  <si>
    <t>ETQP3M6R8KVN</t>
  </si>
  <si>
    <t>https://industrial.panasonic.com/ww/products/pt/automotive-inductors/models/ETQP3M6R8KVN</t>
  </si>
  <si>
    <t>ETQP4M6R8KVK</t>
  </si>
  <si>
    <t>https://industrial.panasonic.com/ww/products/pt/automotive-inductors/models/ETQP4M6R8KVK</t>
  </si>
  <si>
    <t>ETQP4M6R8KVC</t>
  </si>
  <si>
    <t>https://industrial.panasonic.com/ww/products/pt/automotive-inductors/models/ETQP4M6R8KVC</t>
  </si>
  <si>
    <r>
      <t xml:space="preserve">2021/11/12 </t>
    </r>
    <r>
      <rPr>
        <sz val="10"/>
        <rFont val="ＭＳ Ｐゴシック"/>
        <family val="3"/>
        <charset val="128"/>
      </rPr>
      <t>カタログ追加。2021/4/8追加。</t>
    </r>
  </si>
  <si>
    <t>ETQP4M6R8KFN</t>
    <phoneticPr fontId="0"/>
  </si>
  <si>
    <t>https://industrial.panasonic.com/ww/products/pt/automotive-inductors/models/ETQP4M6R8KFN</t>
  </si>
  <si>
    <t>ETQP4M100YFN</t>
  </si>
  <si>
    <t>https://industrial.panasonic.com/ww/products/pt/automotive-inductors/models/ETQP4M100YFN</t>
  </si>
  <si>
    <t>ETQP5M100YFC</t>
  </si>
  <si>
    <t>https://industrial.panasonic.com/ww/products/pt/automotive-inductors/models/ETQP5M100YFC</t>
  </si>
  <si>
    <t>ETQP5M100YFK</t>
  </si>
  <si>
    <t>https://industrial.panasonic.com/ww/products/pt/automotive-inductors/models/ETQP5M100YFK</t>
  </si>
  <si>
    <t>ETQP5M100YFM</t>
  </si>
  <si>
    <t>https://industrial.panasonic.com/ww/products/pt/automotive-inductors/models/ETQP5M100YFM</t>
  </si>
  <si>
    <t>ETQP3M100KVP</t>
  </si>
  <si>
    <t>https://industrial.panasonic.com/ww/products/pt/automotive-inductors/models/ETQP3M100KVP</t>
  </si>
  <si>
    <t>ETQP3M100KVN</t>
  </si>
  <si>
    <t>https://industrial.panasonic.com/ww/products/pt/automotive-inductors/models/ETQP3M100KVN</t>
  </si>
  <si>
    <t>ETQP4M100KVK</t>
  </si>
  <si>
    <t>https://industrial.panasonic.com/ww/products/pt/automotive-inductors/models/ETQP4M100KVK</t>
  </si>
  <si>
    <t>ETQP4M100KVC</t>
  </si>
  <si>
    <t>https://industrial.panasonic.com/ww/products/pt/automotive-inductors/models/ETQP4M100KVC</t>
  </si>
  <si>
    <t>3M-HFN</t>
  </si>
  <si>
    <t>PCC-M0630M-H</t>
    <phoneticPr fontId="0"/>
  </si>
  <si>
    <t>ETQP3M100HFN</t>
  </si>
  <si>
    <t>https://industrial.panasonic.com/ww/products/pt/automotive-inductors/models/ETQP3M100HFN</t>
  </si>
  <si>
    <t>ETQP4M100KFN</t>
  </si>
  <si>
    <t>https://industrial.panasonic.com/ww/products/pt/automotive-inductors/models/ETQP4M100KFN</t>
  </si>
  <si>
    <t>ETQP4M100KFM</t>
  </si>
  <si>
    <t>https://industrial.panasonic.com/ww/products/pt/automotive-inductors/models/ETQP4M100KFM</t>
  </si>
  <si>
    <t>MP</t>
  </si>
  <si>
    <t>5M-GAK</t>
    <phoneticPr fontId="0"/>
  </si>
  <si>
    <t>ETQP5M100GAK</t>
    <phoneticPr fontId="0"/>
  </si>
  <si>
    <t>https://industrial.panasonic.com/ww/products/pt/automotive-inductors/models/ETQP5M100GAK</t>
  </si>
  <si>
    <r>
      <t xml:space="preserve">2021/11/12 </t>
    </r>
    <r>
      <rPr>
        <sz val="10"/>
        <rFont val="ＭＳ Ｐゴシック"/>
        <family val="3"/>
        <charset val="128"/>
      </rPr>
      <t>カタログ追加。2020/8/3追加</t>
    </r>
  </si>
  <si>
    <t>6M-KLC</t>
    <phoneticPr fontId="0"/>
  </si>
  <si>
    <t>ETQP6M150KLC</t>
  </si>
  <si>
    <t>https://industrial.panasonic.com/ww/products/pt/automotive-inductors/models/ETQP6M150KLC</t>
  </si>
  <si>
    <t>ETQP5M150YFC</t>
  </si>
  <si>
    <t>https://industrial.panasonic.com/ww/products/pt/automotive-inductors/models/ETQP5M150YFC</t>
  </si>
  <si>
    <t>ETQP5M150YFK</t>
  </si>
  <si>
    <t>https://industrial.panasonic.com/ww/products/pt/automotive-inductors/models/ETQP5M150YFK</t>
  </si>
  <si>
    <t>ETQP3M150KVN</t>
  </si>
  <si>
    <t>https://industrial.panasonic.com/ww/products/pt/automotive-inductors/models/ETQP3M150KVN</t>
  </si>
  <si>
    <t>ETQP4M150KVK</t>
  </si>
  <si>
    <t>https://industrial.panasonic.com/ww/products/pt/automotive-inductors/models/ETQP4M150KVK</t>
  </si>
  <si>
    <t>ETQP4M150KVC</t>
  </si>
  <si>
    <t>https://industrial.panasonic.com/ww/products/pt/automotive-inductors/models/ETQP4M150KVC</t>
  </si>
  <si>
    <t>ETQP4M150KFN</t>
  </si>
  <si>
    <t>https://industrial.panasonic.com/ww/products/pt/automotive-inductors/models/ETQP4M150KFN</t>
  </si>
  <si>
    <t>LE (Low Price)</t>
  </si>
  <si>
    <t>ETQP4M150KFM</t>
    <phoneticPr fontId="0"/>
  </si>
  <si>
    <t>https://industrial.panasonic.com/ww/products/pt/automotive-inductors/models/ETQP4M150KFM</t>
  </si>
  <si>
    <t>ETQP4M220YFN</t>
  </si>
  <si>
    <t>https://industrial.panasonic.com/ww/products/pt/automotive-inductors/models/ETQP4M220YFN</t>
  </si>
  <si>
    <t>ETQP4M220YFP</t>
  </si>
  <si>
    <t>https://industrial.panasonic.com/ww/products/pt/automotive-inductors/models/ETQP4M220YFP</t>
  </si>
  <si>
    <t>ETQP5M220YFC</t>
    <phoneticPr fontId="0"/>
  </si>
  <si>
    <t>https://industrial.panasonic.com/ww/products/pt/automotive-inductors/models/ETQP5M220YFC</t>
  </si>
  <si>
    <t>ETQP5M220YFK</t>
  </si>
  <si>
    <t>https://industrial.panasonic.com/ww/products/pt/automotive-inductors/models/ETQP5M220YFK</t>
  </si>
  <si>
    <t>ETQP5M220YFM</t>
  </si>
  <si>
    <t>https://industrial.panasonic.com/ww/products/pt/automotive-inductors/models/ETQP5M220YFM</t>
  </si>
  <si>
    <t>ETQP3M220KVN</t>
  </si>
  <si>
    <t>https://industrial.panasonic.com/ww/products/pt/automotive-inductors/models/ETQP3M220KVN</t>
  </si>
  <si>
    <t>ETQP4M220KVK</t>
  </si>
  <si>
    <t>https://industrial.panasonic.com/ww/products/pt/automotive-inductors/models/ETQP4M220KVK</t>
  </si>
  <si>
    <t>ETQP4M220KVC</t>
  </si>
  <si>
    <t>https://industrial.panasonic.com/ww/products/pt/automotive-inductors/models/ETQP4M220KVC</t>
  </si>
  <si>
    <t>ETQP3M220HFN</t>
  </si>
  <si>
    <t>https://industrial.panasonic.com/ww/products/pt/automotive-inductors/models/ETQP3M220HFN</t>
  </si>
  <si>
    <t>ETQP4M220KFM</t>
  </si>
  <si>
    <t>https://industrial.panasonic.com/ww/products/pt/automotive-inductors/models/ETQP4M220KFM</t>
  </si>
  <si>
    <t>ETQP4M220KFN</t>
    <phoneticPr fontId="0"/>
  </si>
  <si>
    <t>https://industrial.panasonic.com/ww/products/pt/automotive-inductors/models/ETQP4M220KFN</t>
  </si>
  <si>
    <t>ETQP4M330YFN</t>
  </si>
  <si>
    <t>https://industrial.panasonic.com/ww/products/pt/automotive-inductors/models/ETQP4M330YFN</t>
  </si>
  <si>
    <t>ETQP5M330YFC</t>
  </si>
  <si>
    <t>https://industrial.panasonic.com/ww/products/pt/automotive-inductors/models/ETQP5M330YFC</t>
  </si>
  <si>
    <t>ETQP5M330YFM</t>
  </si>
  <si>
    <t>https://industrial.panasonic.com/ww/products/pt/automotive-inductors/models/ETQP5M330YFM</t>
  </si>
  <si>
    <t>ETQP3M330KVN</t>
  </si>
  <si>
    <t>https://industrial.panasonic.com/ww/products/pt/automotive-inductors/models/ETQP3M330KVN</t>
  </si>
  <si>
    <t>ETQP4M330KVK</t>
  </si>
  <si>
    <t>https://industrial.panasonic.com/ww/products/pt/automotive-inductors/models/ETQP4M330KVK</t>
  </si>
  <si>
    <t>ETQP4M330KVC</t>
  </si>
  <si>
    <t>https://industrial.panasonic.com/ww/products/pt/automotive-inductors/models/ETQP4M330KVC</t>
  </si>
  <si>
    <t>ETQP4M330KFM</t>
    <phoneticPr fontId="0"/>
  </si>
  <si>
    <t>https://industrial.panasonic.com/ww/products/pt/automotive-inductors/models/ETQP4M330KFM</t>
  </si>
  <si>
    <r>
      <t xml:space="preserve">2021/11/12 </t>
    </r>
    <r>
      <rPr>
        <sz val="10"/>
        <rFont val="ＭＳ Ｐゴシック"/>
        <family val="3"/>
        <charset val="128"/>
      </rPr>
      <t>カタログMP扱い(一時期NRND扱いになり削除していた)。2017/6/1追加。</t>
    </r>
  </si>
  <si>
    <t>Dust</t>
  </si>
  <si>
    <t>Dust Core</t>
    <phoneticPr fontId="0"/>
  </si>
  <si>
    <t>DH-DTV</t>
    <phoneticPr fontId="0"/>
  </si>
  <si>
    <t>PCC-D1413H</t>
    <phoneticPr fontId="0"/>
  </si>
  <si>
    <t>ETQPDH240DTV</t>
  </si>
  <si>
    <t>14 x 14</t>
  </si>
  <si>
    <t>https://industrial.panasonic.com/ww/products/pt/automotive-inductors/models/ETQPDH240DTV</t>
  </si>
  <si>
    <t>https://industrial.panasonic.com/content/data/CC/pictures/lineup-Dust-core.gif</t>
    <phoneticPr fontId="0"/>
  </si>
  <si>
    <t>ETQP4M470YFN</t>
  </si>
  <si>
    <t>https://industrial.panasonic.com/ww/products/pt/automotive-inductors/models/ETQP4M470YFN</t>
  </si>
  <si>
    <t>ETQP5M470YFC</t>
  </si>
  <si>
    <t>https://industrial.panasonic.com/ww/products/pt/automotive-inductors/models/ETQP5M470YFC</t>
  </si>
  <si>
    <t>ETQP4M470KVC</t>
  </si>
  <si>
    <t>https://industrial.panasonic.com/ww/products/pt/automotive-inductors/models/ETQP4M470KVC</t>
  </si>
  <si>
    <t>2025/12/19 MP</t>
    <phoneticPr fontId="0"/>
  </si>
  <si>
    <t>ETQP4M470KFM</t>
  </si>
  <si>
    <t>https://industrial.panasonic.com/ww/products/pt/automotive-inductors/models/ETQP4M470KFM</t>
  </si>
  <si>
    <t>ETQP5M470YFK</t>
  </si>
  <si>
    <t>https://industrial.panasonic.com/ww/products/pt/automotive-inductors/models/ETQP5M470YFK</t>
  </si>
  <si>
    <t>ETQP5M470YFM</t>
  </si>
  <si>
    <t>https://industrial.panasonic.com/ww/products/pt/automotive-inductors/models/ETQP5M470YFM</t>
  </si>
  <si>
    <t>ETQP5M680YFC</t>
  </si>
  <si>
    <t>https://industrial.panasonic.com/ww/products/pt/automotive-inductors/models/ETQP5M680YFC</t>
  </si>
  <si>
    <r>
      <t>2022/*/* MP</t>
    </r>
    <r>
      <rPr>
        <sz val="11"/>
        <color theme="1"/>
        <rFont val="ＭＳ Ｐゴシック"/>
        <family val="2"/>
        <charset val="128"/>
      </rPr>
      <t>。</t>
    </r>
    <r>
      <rPr>
        <sz val="11"/>
        <color theme="1"/>
        <rFont val="Arial"/>
        <family val="2"/>
      </rPr>
      <t xml:space="preserve">2021/11/12 </t>
    </r>
    <r>
      <rPr>
        <sz val="10"/>
        <rFont val="ＭＳ Ｐゴシック"/>
        <family val="3"/>
        <charset val="128"/>
      </rPr>
      <t>カタログUD扱い。2019/11/15追加</t>
    </r>
  </si>
  <si>
    <t>ETQP5M680YFM</t>
    <phoneticPr fontId="0"/>
  </si>
  <si>
    <t>https://industrial.panasonic.com/ww/products/pt/automotive-inductors/models/ETQP5M680YFM</t>
  </si>
  <si>
    <t>ETQP4M680KVC</t>
    <phoneticPr fontId="0"/>
  </si>
  <si>
    <t>https://industrial.panasonic.com/ww/products/pt/automotive-inductors/models/ETQP4M680KVC</t>
  </si>
  <si>
    <t>ETQP5M820YGC</t>
    <phoneticPr fontId="0"/>
  </si>
  <si>
    <t>https://industrial.panasonic.com/ww/products/pt/automotive-inductors/models/ETQP5M820YGC</t>
  </si>
  <si>
    <t>5M-YGM</t>
  </si>
  <si>
    <t>PCC-M0750M</t>
    <phoneticPr fontId="0"/>
  </si>
  <si>
    <t>ETQP5M101YGM</t>
  </si>
  <si>
    <t>https://industrial.panasonic.com/ww/products/pt/automotive-inductors/models/ETQP5M101YGM</t>
  </si>
  <si>
    <t>5M-YGC</t>
  </si>
  <si>
    <t>ETQP5M101YGC</t>
  </si>
  <si>
    <t>https://industrial.panasonic.com/ww/products/pt/automotive-inductors/models/ETQP5M101YGC</t>
  </si>
  <si>
    <t>5M-YGK</t>
  </si>
  <si>
    <t>PCC-M0850M</t>
    <phoneticPr fontId="0"/>
  </si>
  <si>
    <t>ETQP5M101YGK</t>
  </si>
  <si>
    <t>https://industrial.panasonic.com/ww/products/pt/automotive-inductors/models/ETQP5M101YGK</t>
  </si>
  <si>
    <t>ETQP4M101KVC</t>
    <phoneticPr fontId="0"/>
  </si>
  <si>
    <t>https://industrial.panasonic.com/ww/products/pt/automotive-inductors/models/ETQP4M101KVC</t>
  </si>
  <si>
    <r>
      <t>2024/6/7 UD</t>
    </r>
    <r>
      <rPr>
        <sz val="11"/>
        <color theme="1"/>
        <rFont val="ＭＳ Ｐゴシック"/>
        <family val="2"/>
        <charset val="128"/>
      </rPr>
      <t>→</t>
    </r>
    <r>
      <rPr>
        <sz val="11"/>
        <color theme="1"/>
        <rFont val="Arial"/>
        <family val="2"/>
      </rPr>
      <t>MP</t>
    </r>
    <r>
      <rPr>
        <sz val="11"/>
        <color theme="1"/>
        <rFont val="ＭＳ Ｐゴシック"/>
        <family val="2"/>
        <charset val="128"/>
      </rPr>
      <t>へ</t>
    </r>
  </si>
  <si>
    <t>PCC-M1056MS</t>
    <phoneticPr fontId="0"/>
  </si>
  <si>
    <t>ETQP5M220YSC</t>
    <phoneticPr fontId="0"/>
  </si>
  <si>
    <t>https://industrial.panasonic.com/ww/products/pt/automotive-inductors/models/ETQP5M220YSC</t>
  </si>
  <si>
    <t>PCC-M1054MS</t>
    <phoneticPr fontId="0"/>
  </si>
  <si>
    <t>ETQP5M470YSC</t>
    <phoneticPr fontId="0"/>
  </si>
  <si>
    <t>https://industrial.panasonic.com/ww/products/pt/automotive-inductors/models/ETQP5M470YSC</t>
  </si>
  <si>
    <t>2023/10/31 MP</t>
    <phoneticPr fontId="0"/>
  </si>
  <si>
    <t>PCC-M1060MS</t>
    <phoneticPr fontId="0"/>
  </si>
  <si>
    <t>ETQP6M2R5YSC</t>
    <phoneticPr fontId="0"/>
  </si>
  <si>
    <t>https://industrial.panasonic.com/ww/products/pt/automotive-inductors/models/ETQP6M2R5YSC</t>
  </si>
  <si>
    <t>AM-JFW</t>
    <phoneticPr fontId="0"/>
  </si>
  <si>
    <t>PCC-M15A0MF</t>
    <phoneticPr fontId="0"/>
  </si>
  <si>
    <t>ETQPAMR33JFW</t>
    <phoneticPr fontId="0"/>
  </si>
  <si>
    <t>15 x 15</t>
    <phoneticPr fontId="0"/>
  </si>
  <si>
    <t>https://industrial.panasonic.com/ww/products/pt/automotive-inductors/models/ETQPAMR33JFW</t>
  </si>
  <si>
    <t>2023/8/1 MP</t>
    <phoneticPr fontId="0"/>
  </si>
  <si>
    <t>ETQPAMR68JFW</t>
    <phoneticPr fontId="0"/>
  </si>
  <si>
    <t>https://industrial.panasonic.com/ww/products/pt/automotive-inductors/models/ETQPAMR68JFW</t>
  </si>
  <si>
    <t>2024/11/29 MP</t>
    <phoneticPr fontId="0"/>
  </si>
  <si>
    <t>ETQPAM1R0JFW</t>
    <phoneticPr fontId="0"/>
  </si>
  <si>
    <t>https://industrial.panasonic.com/ww/products/pt/automotive-inductors/models/ETQPAM1R0JFW</t>
  </si>
  <si>
    <t>https://industrial.panasonic.com/content/data/CC/pictures/lineup-Large%20current.gif</t>
  </si>
  <si>
    <r>
      <t>2025/7/10 UD</t>
    </r>
    <r>
      <rPr>
        <sz val="11"/>
        <color theme="1"/>
        <rFont val="ＭＳ Ｐゴシック"/>
        <family val="2"/>
        <charset val="128"/>
      </rPr>
      <t>→</t>
    </r>
    <r>
      <rPr>
        <sz val="11"/>
        <color theme="1"/>
        <rFont val="Arial"/>
        <family val="2"/>
      </rPr>
      <t>MP</t>
    </r>
  </si>
  <si>
    <t>ETQPAM1R5JFW</t>
    <phoneticPr fontId="0"/>
  </si>
  <si>
    <t>https://industrial.panasonic.com/ww/products/pt/automotive-inductors/models/ETQPAM1R5JFW</t>
  </si>
  <si>
    <t>ETQPAM2R5JFW</t>
    <phoneticPr fontId="0"/>
  </si>
  <si>
    <t>https://industrial.panasonic.com/ww/products/pt/automotive-inductors/models/ETQPAM2R5JFW</t>
  </si>
  <si>
    <r>
      <t>2025/3/28 UD</t>
    </r>
    <r>
      <rPr>
        <b/>
        <sz val="11"/>
        <color theme="1"/>
        <rFont val="ＭＳ Ｐゴシック"/>
        <family val="2"/>
        <charset val="128"/>
      </rPr>
      <t>→</t>
    </r>
    <r>
      <rPr>
        <b/>
        <sz val="11"/>
        <color theme="1"/>
        <rFont val="Arial"/>
        <family val="2"/>
      </rPr>
      <t>MP</t>
    </r>
    <r>
      <rPr>
        <b/>
        <sz val="11"/>
        <color theme="1"/>
        <rFont val="ＭＳ Ｐゴシック"/>
        <family val="2"/>
        <charset val="128"/>
      </rPr>
      <t>へ</t>
    </r>
  </si>
  <si>
    <t>ETQPAM3R3JFW</t>
    <phoneticPr fontId="0"/>
  </si>
  <si>
    <t>https://industrial.panasonic.com/ww/products/pt/automotive-inductors/models/ETQPAM3R3JFW</t>
  </si>
  <si>
    <t>ETQPAM4R7JFW</t>
    <phoneticPr fontId="0"/>
  </si>
  <si>
    <t>https://industrial.panasonic.com/ww/products/pt/automotive-inductors/models/ETQPAM4R7JFW</t>
  </si>
  <si>
    <t>3M-KVP</t>
    <phoneticPr fontId="0"/>
  </si>
  <si>
    <t>ETQP3M220KVP</t>
    <phoneticPr fontId="0"/>
  </si>
  <si>
    <t>_5 x 5</t>
  </si>
  <si>
    <t>https://industrial.panasonic.com/ww/products/pt/automotive-inductors/models/ETQP3M220KVP</t>
  </si>
  <si>
    <r>
      <t>2025/7/10 UD→MP</t>
    </r>
    <r>
      <rPr>
        <sz val="11"/>
        <color theme="1"/>
        <rFont val="ＭＳ Ｐゴシック"/>
        <family val="2"/>
        <charset val="128"/>
      </rPr>
      <t>　</t>
    </r>
    <r>
      <rPr>
        <sz val="11"/>
        <color theme="1"/>
        <rFont val="Arial"/>
        <family val="2"/>
      </rPr>
      <t>2023/10/31 UD</t>
    </r>
  </si>
  <si>
    <t>LL (Low Inductance)</t>
    <phoneticPr fontId="0"/>
  </si>
  <si>
    <t>5M-CVM</t>
    <phoneticPr fontId="0"/>
  </si>
  <si>
    <t>PCC-M0750M-LL</t>
    <phoneticPr fontId="0"/>
  </si>
  <si>
    <t>ETQP5MR22CVM</t>
    <phoneticPr fontId="0"/>
  </si>
  <si>
    <t>https://industrial.panasonic.com/content/data/CC/pictures/lineup-LL.gif</t>
    <phoneticPr fontId="0"/>
  </si>
  <si>
    <r>
      <t xml:space="preserve">2025/2/21 </t>
    </r>
    <r>
      <rPr>
        <sz val="11"/>
        <color theme="1"/>
        <rFont val="ＭＳ Ｐゴシック"/>
        <family val="2"/>
        <charset val="128"/>
      </rPr>
      <t>カタログ追加</t>
    </r>
  </si>
  <si>
    <t>SMD</t>
    <phoneticPr fontId="0"/>
  </si>
  <si>
    <t>5M-YTC</t>
    <phoneticPr fontId="0"/>
  </si>
  <si>
    <t>ETQP5M2R5YTC</t>
    <phoneticPr fontId="0"/>
  </si>
  <si>
    <t>https://industrial.panasonic.com/ww/products/pt/automotive-inductors/models/ETQP5M2R5YTC</t>
  </si>
  <si>
    <t>ETQP5M3R3YTC</t>
    <phoneticPr fontId="0"/>
  </si>
  <si>
    <t>https://industrial.panasonic.com/ww/products/pt/automotive-inductors/models/ETQP5M3R3YTC</t>
  </si>
  <si>
    <t>ETQP3MR10KVP</t>
    <phoneticPr fontId="0"/>
  </si>
  <si>
    <t>https://industrial.panasonic.com/ww/products/pt/automotive-inductors/models/ETQP3MR10KVP</t>
  </si>
  <si>
    <t>4M-KFM</t>
    <phoneticPr fontId="0"/>
  </si>
  <si>
    <t>ETQP4MR47KFM</t>
    <phoneticPr fontId="0"/>
  </si>
  <si>
    <t>https://industrial.panasonic.com/ww/products/pt/automotive-inductors/models/ETQP4MR47KFM</t>
  </si>
  <si>
    <t>2025/3/28 MP</t>
    <phoneticPr fontId="0"/>
  </si>
  <si>
    <t>ETQP4M100YFP</t>
    <phoneticPr fontId="0"/>
  </si>
  <si>
    <t>https://industrial.panasonic.com/ww/products/pt/automotive-inductors/models/ETQP4M100YFP</t>
  </si>
  <si>
    <t>2025/4/25 MP</t>
    <phoneticPr fontId="0"/>
  </si>
  <si>
    <t>3M-KVN</t>
    <phoneticPr fontId="0"/>
  </si>
  <si>
    <t>ETQP3MR47KVN</t>
    <phoneticPr fontId="0"/>
  </si>
  <si>
    <t>_6 x 6</t>
  </si>
  <si>
    <t>https://industrial.panasonic.com/ww/products/pt/automotive-inductors/models/ETQP3MR47KVN</t>
  </si>
  <si>
    <t>2025/10/3 MP</t>
    <phoneticPr fontId="0"/>
  </si>
  <si>
    <t>PCC-M078M-LE</t>
    <phoneticPr fontId="0"/>
  </si>
  <si>
    <t>ETQP4M1R2KFM</t>
    <phoneticPr fontId="0"/>
  </si>
  <si>
    <t>ETQP4M1R5KFM</t>
    <phoneticPr fontId="0"/>
  </si>
  <si>
    <t>ETQP4M2R2KFM</t>
    <phoneticPr fontId="0"/>
  </si>
  <si>
    <t>4M-KVK</t>
    <phoneticPr fontId="0"/>
  </si>
  <si>
    <t>ETQP4MR47KVK</t>
    <phoneticPr fontId="0"/>
  </si>
  <si>
    <t>4M-KFN</t>
    <phoneticPr fontId="0"/>
  </si>
  <si>
    <t>ETQP4M470KFN</t>
    <phoneticPr fontId="0"/>
  </si>
  <si>
    <t>https://industrial.panasonic.com/ww/products/pt/automotive-inductors/models/ETQP4M470KFN</t>
    <phoneticPr fontId="0"/>
  </si>
  <si>
    <t>2026/2/6 Catalog up</t>
    <phoneticPr fontId="0"/>
  </si>
  <si>
    <t>ETQP5M6R8GAK</t>
  </si>
  <si>
    <t>_8 x 8</t>
  </si>
  <si>
    <t>https://industrial.panasonic.com/ww/products/pt/automotive-inductors/models/ETQP5M6R8GAK</t>
    <phoneticPr fontId="0"/>
  </si>
  <si>
    <t>High Isat (Standard)</t>
  </si>
  <si>
    <t>ETQP4MR33KLC</t>
  </si>
  <si>
    <t>https://industrial.panasonic.com/ww/products/pt/automotive-inductors/models/ETQP4MR33KLC</t>
    <phoneticPr fontId="0"/>
  </si>
  <si>
    <t>6M-GAC</t>
    <phoneticPr fontId="0"/>
  </si>
  <si>
    <t>ETQP6M100GAC</t>
  </si>
  <si>
    <t>https://industrial.panasonic.com/ww/products/pt/automotive-inductors/models/ETQP6M100GAC</t>
    <phoneticPr fontId="0"/>
  </si>
  <si>
    <t>Isat (-30%)</t>
    <phoneticPr fontId="0"/>
  </si>
  <si>
    <t>Isat (-20%)</t>
    <phoneticPr fontId="0"/>
  </si>
  <si>
    <t>ETQP5M2R5YTC</t>
  </si>
  <si>
    <t>??</t>
  </si>
  <si>
    <t>ETQP5M3R3YTC</t>
  </si>
  <si>
    <t>ETQP3MR10KVP</t>
  </si>
  <si>
    <t>L1 Tol. (%)</t>
  </si>
  <si>
    <t>Ir (A)</t>
  </si>
  <si>
    <t>URL</t>
  </si>
  <si>
    <t>ETQP4MR47KFM</t>
  </si>
  <si>
    <t>https://industrial.panasonic.com/ww/products/pt/inductors-for-consumer/models/ETQP3LR15CFM</t>
  </si>
  <si>
    <t>https://industrial.panasonic.com/ww/products/pt/inductors-for-consumer/models/ETQP4LR15AFM</t>
  </si>
  <si>
    <t>Check</t>
  </si>
  <si>
    <t>Renewal Date</t>
  </si>
  <si>
    <t>Core</t>
  </si>
  <si>
    <t>Feature</t>
  </si>
  <si>
    <t>Series</t>
  </si>
  <si>
    <t>Series (Size)</t>
  </si>
  <si>
    <t>Automotive Grade</t>
  </si>
  <si>
    <t>Lo (uH)</t>
  </si>
  <si>
    <t>Lo RangeXX</t>
  </si>
  <si>
    <t>Lo Range (uH)</t>
  </si>
  <si>
    <t>Lo Tol. (%)</t>
  </si>
  <si>
    <t>DCR Typ (mOhm)</t>
  </si>
  <si>
    <t>DCR Max (mOhm)</t>
  </si>
  <si>
    <t>DCR Tol. (%)</t>
  </si>
  <si>
    <t>Method B 
typ</t>
  </si>
  <si>
    <t>Method A typ</t>
  </si>
  <si>
    <t>⊿L=-30% 
typ (A)</t>
  </si>
  <si>
    <t>⊿L=-20% 
typ (A)</t>
  </si>
  <si>
    <t>Size (mm)</t>
  </si>
  <si>
    <t>Rough Size (mm)</t>
  </si>
  <si>
    <t>Max Height (mm)</t>
  </si>
  <si>
    <t>Max Height Range (mm)</t>
  </si>
  <si>
    <t>Temp Range (deg.C)</t>
  </si>
  <si>
    <t>Min Temp (deg.C)</t>
  </si>
  <si>
    <t>Max Temp (deg.C)</t>
  </si>
  <si>
    <t>MPQ</t>
  </si>
  <si>
    <t>L1 (uH)</t>
  </si>
  <si>
    <t>Rough L1 (uH)</t>
  </si>
  <si>
    <t>https://industrial.panasonic.com/ww/products/pt/inductors-for-consumer/models/ETQP4LR15AFC</t>
  </si>
  <si>
    <t>2018/1/12まだカタログに載っていないが次の更新タイミングで載る。</t>
  </si>
  <si>
    <t>High Performance</t>
  </si>
  <si>
    <t>No</t>
  </si>
  <si>
    <t>ETQP3LR15CFM</t>
  </si>
  <si>
    <t>R15</t>
  </si>
  <si>
    <t>&lt;1</t>
  </si>
  <si>
    <t>≤    0.2</t>
  </si>
  <si>
    <t>0.614 (+/-7%)</t>
  </si>
  <si>
    <t>8.7  x  7</t>
  </si>
  <si>
    <t xml:space="preserve"> 8 x 8</t>
  </si>
  <si>
    <t>≤ 3</t>
  </si>
  <si>
    <t>-40 to +130</t>
  </si>
  <si>
    <t>https://industrial.panasonic.com/ww/products/pt/inductors-for-consumer/models/ETQP4LR19WFC</t>
  </si>
  <si>
    <t>EOL?</t>
  </si>
  <si>
    <t>ETQP4LR15AFM</t>
  </si>
  <si>
    <t>≤    0.4</t>
  </si>
  <si>
    <t>0.66 (+/-7%)</t>
  </si>
  <si>
    <t>≤ 4</t>
  </si>
  <si>
    <t>https://industrial.panasonic.com/ww/products/pt/inductors-for-consumer/models/ETQP3LR24CFM</t>
  </si>
  <si>
    <t>ETQP4LR15AFC</t>
  </si>
  <si>
    <t>0.41 (+/-7%)</t>
  </si>
  <si>
    <t>11.7  x  10</t>
  </si>
  <si>
    <t>https://industrial.panasonic.com/ww/products/pt/inductors-for-consumer/models/ETQP4LR24AFM</t>
  </si>
  <si>
    <t>OK</t>
  </si>
  <si>
    <t>ETQP4LR19WFC</t>
  </si>
  <si>
    <t>R19</t>
  </si>
  <si>
    <t>≤    0.3</t>
  </si>
  <si>
    <t>0.7 (+/-10%)</t>
  </si>
  <si>
    <t>11.5  x  10</t>
  </si>
  <si>
    <t>https://industrial.panasonic.com/ww/products/pt/inductors-for-consumer/models/ETQP4LR36AFM</t>
  </si>
  <si>
    <t>ETQP3LR24CFM</t>
  </si>
  <si>
    <t>R24</t>
  </si>
  <si>
    <t>1.12 (+/-7%)</t>
  </si>
  <si>
    <t>https://industrial.panasonic.com/ww/products/pt/inductors-for-consumer/models/ETQP4LR36AFC</t>
  </si>
  <si>
    <t>ETQP4LR24AFM</t>
  </si>
  <si>
    <t>≤    0.5</t>
  </si>
  <si>
    <t>1 (+/-7%)</t>
  </si>
  <si>
    <t>https://industrial.panasonic.com/ww/products/pt/inductors-for-consumer/models/ETQP4LR36WFC</t>
  </si>
  <si>
    <t>ETQP4LR36AFM</t>
  </si>
  <si>
    <t>R36</t>
  </si>
  <si>
    <t>≤    0.6</t>
  </si>
  <si>
    <t>1.35 (+/-7%)</t>
  </si>
  <si>
    <t>https://industrial.panasonic.com/ww/products/pt/inductors-for-consumer/models/ETQP4LR42AFM</t>
  </si>
  <si>
    <t>ETQP4LR36AFC</t>
  </si>
  <si>
    <t>0.76 (+/-5%)</t>
  </si>
  <si>
    <t>https://industrial.panasonic.com/ww/products/pt/inductors-for-consumer/models/ETQP4LR45XFC</t>
  </si>
  <si>
    <t>ETQP4LR36WFC</t>
  </si>
  <si>
    <t>1.1 (+/-5%)</t>
  </si>
  <si>
    <t>https://industrial.panasonic.com/jp/products/pt/inductors-for-consumer/models/ETQP5LR50XFA</t>
  </si>
  <si>
    <t>ETQP4LR42AFM</t>
  </si>
  <si>
    <t>R42</t>
  </si>
  <si>
    <t>≤    0.7</t>
  </si>
  <si>
    <t>1.5 (+/-7%)</t>
  </si>
  <si>
    <t>https://industrial.panasonic.com/ww/products/pt/inductors-for-consumer/models/ETQP4LR56WFC</t>
  </si>
  <si>
    <t>ETQP4LR45XFC</t>
  </si>
  <si>
    <t>R45</t>
  </si>
  <si>
    <t>+20%, -25%</t>
  </si>
  <si>
    <t>https://industrial.panasonic.com/jp/products/pt/inductors-for-consumer/models/ETQP5LR60XFA</t>
  </si>
  <si>
    <t>NRND</t>
    <phoneticPr fontId="0"/>
  </si>
  <si>
    <t>ETQP5LR50XFA</t>
  </si>
  <si>
    <t>0.80 (+/-7%)</t>
  </si>
  <si>
    <t>42  (-10%)</t>
  </si>
  <si>
    <t>14.5 x 12.5</t>
  </si>
  <si>
    <t>https://industrial.panasonic.com/ww/products/pt/inductors-for-consumer/models/ETQP4LR68XFC</t>
  </si>
  <si>
    <t>ETQP4LR56WFC</t>
  </si>
  <si>
    <t>R56</t>
  </si>
  <si>
    <t>1.56 (+/-5%)</t>
  </si>
  <si>
    <t>ETQP5LR60XFA</t>
  </si>
  <si>
    <t>1.10 (+/-5%)</t>
  </si>
  <si>
    <t>54 (-10%)</t>
  </si>
  <si>
    <t>ETQP4LR68XFC</t>
  </si>
  <si>
    <t>R68</t>
  </si>
  <si>
    <t>1.58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</si>
</sst>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Red]\(0.0\)"/>
    <numFmt numFmtId="165" formatCode="0.0"/>
    <numFmt numFmtId="166" formatCode="0_);[Red]\(0\)"/>
  </numFmts>
  <fonts count="48">
    <font>
      <sz val="10"/>
      <name val="ＭＳ Ｐゴシック"/>
      <family val="3"/>
      <charset val="128"/>
    </font>
    <font>
      <sz val="11"/>
      <color theme="1"/>
      <name val="Calibri"/>
      <family val="2"/>
      <charset val="128"/>
      <scheme val="minor"/>
    </font>
    <font>
      <sz val="11"/>
      <color theme="1"/>
      <name val="Arial"/>
      <family val="2"/>
    </font>
    <font>
      <sz val="11"/>
      <color theme="1"/>
      <name val="ＭＳ Ｐゴシック"/>
      <family val="3"/>
      <charset val="128"/>
    </font>
    <font>
      <b/>
      <sz val="11"/>
      <color theme="1"/>
      <name val="ＭＳ Ｐゴシック"/>
      <family val="3"/>
      <charset val="128"/>
    </font>
    <font>
      <sz val="12"/>
      <color theme="1"/>
      <name val="Arial"/>
      <family val="2"/>
    </font>
    <font>
      <b/>
      <sz val="12"/>
      <color theme="1"/>
      <name val="Arial"/>
      <family val="2"/>
    </font>
    <font>
      <sz val="11"/>
      <color theme="1"/>
      <name val="ＭＳ ゴシック"/>
      <family val="3"/>
      <charset val="128"/>
    </font>
    <font>
      <sz val="11"/>
      <color theme="1"/>
      <name val="Arial"/>
      <family val="3"/>
    </font>
    <font>
      <sz val="11"/>
      <color theme="1"/>
      <name val="ＭＳ Ｐゴシック"/>
      <family val="2"/>
      <charset val="128"/>
    </font>
    <font>
      <b/>
      <sz val="11"/>
      <color theme="1"/>
      <name val="Arial"/>
      <family val="2"/>
    </font>
    <font>
      <u/>
      <sz val="10"/>
      <color theme="10"/>
      <name val="ＭＳ Ｐゴシック"/>
      <family val="3"/>
      <charset val="128"/>
    </font>
    <font>
      <u/>
      <sz val="5"/>
      <color theme="10"/>
      <name val="ＭＳ Ｐゴシック"/>
      <family val="3"/>
      <charset val="128"/>
    </font>
    <font>
      <sz val="10"/>
      <name val="ＭＳ Ｐゴシック"/>
      <family val="3"/>
      <charset val="128"/>
    </font>
    <font>
      <sz val="11"/>
      <color theme="1"/>
      <name val="Arial"/>
      <family val="2"/>
      <charset val="128"/>
    </font>
    <font>
      <sz val="11"/>
      <color theme="1"/>
      <name val="Arial"/>
      <family val="2"/>
      <charset val="1"/>
    </font>
    <font>
      <sz val="11"/>
      <color theme="1"/>
      <name val="MS UI Gothic"/>
      <family val="2"/>
      <charset val="1"/>
    </font>
    <font>
      <sz val="8"/>
      <color theme="1"/>
      <name val="Arial"/>
      <family val="2"/>
      <charset val="128"/>
    </font>
    <font>
      <sz val="9"/>
      <color theme="0"/>
      <name val="Arial"/>
      <family val="2"/>
    </font>
    <font>
      <sz val="9"/>
      <color theme="0"/>
      <name val="ＭＳ Ｐゴシック"/>
      <family val="2"/>
      <charset val="128"/>
    </font>
    <font>
      <sz val="10"/>
      <color theme="0"/>
      <name val="Arial"/>
      <family val="2"/>
    </font>
    <font>
      <sz val="9"/>
      <color theme="1"/>
      <name val="Arial"/>
      <family val="2"/>
    </font>
    <font>
      <sz val="9"/>
      <color theme="1"/>
      <name val="ＭＳ Ｐゴシック"/>
      <family val="3"/>
      <charset val="128"/>
    </font>
    <font>
      <strike/>
      <sz val="9"/>
      <color theme="0"/>
      <name val="Arial"/>
      <family val="2"/>
    </font>
    <font>
      <sz val="9"/>
      <color theme="0"/>
      <name val="ＭＳ Ｐゴシック"/>
      <family val="3"/>
      <charset val="128"/>
    </font>
    <font>
      <sz val="7"/>
      <color theme="0"/>
      <name val="Arial"/>
      <family val="2"/>
    </font>
    <font>
      <sz val="7"/>
      <color theme="0"/>
      <name val="ＭＳ Ｐゴシック"/>
      <family val="3"/>
      <charset val="128"/>
    </font>
    <font>
      <b/>
      <sz val="9"/>
      <color theme="0"/>
      <name val="Arial"/>
      <family val="2"/>
    </font>
    <font>
      <b/>
      <sz val="10"/>
      <name val="Arial"/>
      <family val="2"/>
    </font>
    <font>
      <b/>
      <sz val="8"/>
      <name val="Arial"/>
      <family val="2"/>
    </font>
    <font>
      <b/>
      <sz val="8"/>
      <name val="Arial Unicode MS"/>
      <family val="3"/>
      <charset val="128"/>
    </font>
    <font>
      <b/>
      <sz val="10"/>
      <name val="Arial Unicode MS"/>
      <family val="3"/>
      <charset val="128"/>
    </font>
    <font>
      <sz val="10"/>
      <name val="ＭＳ Ｐゴシック"/>
      <family val="2"/>
      <charset val="128"/>
    </font>
    <font>
      <sz val="11"/>
      <name val="Arial"/>
      <family val="2"/>
    </font>
    <font>
      <sz val="10"/>
      <name val="Arial"/>
      <family val="2"/>
    </font>
    <font>
      <sz val="11"/>
      <name val="ＭＳ Ｐゴシック"/>
      <family val="3"/>
      <charset val="128"/>
    </font>
    <font>
      <sz val="11"/>
      <color rgb="FF3333FF"/>
      <name val="Arial"/>
      <family val="2"/>
    </font>
    <font>
      <b/>
      <sz val="11"/>
      <name val="Arial"/>
      <family val="2"/>
    </font>
    <font>
      <sz val="11"/>
      <color rgb="FFFF0000"/>
      <name val="Arial"/>
      <family val="2"/>
    </font>
    <font>
      <b/>
      <sz val="11"/>
      <color rgb="FFFF0000"/>
      <name val="Arial"/>
      <family val="2"/>
    </font>
    <font>
      <b/>
      <sz val="11"/>
      <color rgb="FF3333FF"/>
      <name val="Arial"/>
      <family val="2"/>
    </font>
    <font>
      <sz val="8"/>
      <color theme="1"/>
      <name val="Arial"/>
      <family val="2"/>
    </font>
    <font>
      <b/>
      <sz val="11"/>
      <color theme="1"/>
      <name val="ＭＳ Ｐゴシック"/>
      <family val="2"/>
      <charset val="128"/>
    </font>
    <font>
      <u/>
      <sz val="8"/>
      <color theme="10"/>
      <name val="ＭＳ Ｐゴシック"/>
      <family val="3"/>
      <charset val="128"/>
    </font>
    <font>
      <b/>
      <sz val="9"/>
      <color indexed="81"/>
      <name val="ＭＳ Ｐゴシック"/>
      <family val="3"/>
      <charset val="128"/>
    </font>
    <font>
      <b/>
      <sz val="9"/>
      <color indexed="81"/>
      <name val="MS P ゴシック"/>
      <family val="2"/>
    </font>
    <font>
      <sz val="9"/>
      <color indexed="81"/>
      <name val="MS P ゴシック"/>
      <family val="2"/>
    </font>
    <font>
      <sz val="9"/>
      <color indexed="81"/>
      <name val="ＭＳ Ｐゴシック"/>
      <family val="3"/>
      <charset val="128"/>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70C0"/>
        <bgColor indexed="64"/>
      </patternFill>
    </fill>
    <fill>
      <patternFill patternType="solid">
        <fgColor theme="0" tint="-0.499984740745262"/>
        <bgColor indexed="64"/>
      </patternFill>
    </fill>
    <fill>
      <patternFill patternType="solid">
        <fgColor theme="9" tint="-0.249977111117893"/>
        <bgColor indexed="64"/>
      </patternFill>
    </fill>
  </fills>
  <borders count="15">
    <border>
      <left/>
      <right/>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thin">
        <color auto="1"/>
      </right>
      <top/>
      <bottom/>
      <diagonal/>
    </border>
    <border>
      <left style="thin">
        <color auto="1"/>
      </left>
      <right/>
      <top/>
      <bottom/>
      <diagonal/>
    </border>
    <border>
      <left style="thin">
        <color auto="1"/>
      </left>
      <right/>
      <top/>
      <bottom style="medium">
        <color auto="1"/>
      </bottom>
      <diagonal/>
    </border>
    <border>
      <left style="thin">
        <color auto="1"/>
      </left>
      <right style="thin">
        <color indexed="64"/>
      </right>
      <top/>
      <bottom style="medium">
        <color auto="1"/>
      </bottom>
      <diagonal/>
    </border>
    <border>
      <left/>
      <right style="thin">
        <color auto="1"/>
      </right>
      <top/>
      <bottom style="medium">
        <color auto="1"/>
      </bottom>
      <diagonal/>
    </border>
  </borders>
  <cellStyleXfs count="7">
    <xf numFmtId="0" fontId="0" fillId="0" borderId="0"/>
    <xf numFmtId="9" fontId="13" fillId="0" borderId="0" applyFont="0" applyFill="0" applyBorder="0" applyAlignment="0" applyProtection="0">
      <alignment vertical="center"/>
    </xf>
    <xf numFmtId="0" fontId="11" fillId="0" borderId="0" applyNumberFormat="0" applyFill="0" applyBorder="0" applyAlignment="0" applyProtection="0"/>
    <xf numFmtId="0" fontId="1" fillId="0" borderId="0">
      <alignment vertical="center"/>
    </xf>
    <xf numFmtId="0" fontId="1" fillId="0" borderId="0">
      <alignment vertical="center"/>
    </xf>
    <xf numFmtId="0" fontId="32" fillId="0" borderId="0"/>
    <xf numFmtId="0" fontId="1" fillId="0" borderId="0">
      <alignment vertical="center"/>
    </xf>
  </cellStyleXfs>
  <cellXfs count="128">
    <xf numFmtId="0" fontId="0" fillId="0" borderId="0" xfId="0"/>
    <xf numFmtId="0" fontId="2" fillId="0" borderId="0" xfId="3" applyFont="1">
      <alignment vertical="center"/>
    </xf>
    <xf numFmtId="0" fontId="2" fillId="0" borderId="0" xfId="3" applyFont="1" applyAlignment="1">
      <alignment vertical="center" shrinkToFit="1"/>
    </xf>
    <xf numFmtId="0" fontId="3" fillId="0" borderId="0" xfId="3" applyFont="1">
      <alignment vertical="center"/>
    </xf>
    <xf numFmtId="0" fontId="4" fillId="0" borderId="0" xfId="3" applyFont="1">
      <alignment vertical="center"/>
    </xf>
    <xf numFmtId="0" fontId="2" fillId="2" borderId="0" xfId="3" applyFont="1" applyFill="1">
      <alignment vertical="center"/>
    </xf>
    <xf numFmtId="0" fontId="5" fillId="3" borderId="0" xfId="4" applyFont="1" applyFill="1">
      <alignment vertical="center"/>
    </xf>
    <xf numFmtId="0" fontId="2" fillId="0" borderId="0" xfId="3" applyFont="1" applyAlignment="1">
      <alignment vertical="top"/>
    </xf>
    <xf numFmtId="0" fontId="6" fillId="3" borderId="0" xfId="4" applyFont="1" applyFill="1">
      <alignment vertical="center"/>
    </xf>
    <xf numFmtId="0" fontId="2" fillId="3" borderId="0" xfId="4" applyFont="1" applyFill="1">
      <alignment vertical="center"/>
    </xf>
    <xf numFmtId="0" fontId="3" fillId="0" borderId="0" xfId="3" quotePrefix="1" applyFont="1">
      <alignment vertical="center"/>
    </xf>
    <xf numFmtId="0" fontId="2" fillId="0" borderId="0" xfId="3" quotePrefix="1" applyFont="1">
      <alignment vertical="center"/>
    </xf>
    <xf numFmtId="0" fontId="5" fillId="3" borderId="0" xfId="4" applyFont="1" applyFill="1" applyAlignment="1">
      <alignment horizontal="right" vertical="center"/>
    </xf>
    <xf numFmtId="0" fontId="9" fillId="0" borderId="0" xfId="3" quotePrefix="1" applyFont="1">
      <alignment vertical="center"/>
    </xf>
    <xf numFmtId="0" fontId="10" fillId="3" borderId="0" xfId="4" applyFont="1" applyFill="1">
      <alignment vertical="center"/>
    </xf>
    <xf numFmtId="0" fontId="12" fillId="0" borderId="0" xfId="2" applyFont="1" applyAlignment="1">
      <alignment vertical="center"/>
    </xf>
    <xf numFmtId="0" fontId="2" fillId="4" borderId="0" xfId="3" applyFont="1" applyFill="1">
      <alignment vertical="center"/>
    </xf>
    <xf numFmtId="0" fontId="14" fillId="0" borderId="0" xfId="3" applyFont="1">
      <alignment vertical="center"/>
    </xf>
    <xf numFmtId="0" fontId="2" fillId="0" borderId="1" xfId="3" applyFont="1" applyBorder="1" applyAlignment="1">
      <alignment horizontal="center" vertical="center" shrinkToFit="1"/>
    </xf>
    <xf numFmtId="0" fontId="2" fillId="0" borderId="2" xfId="3" applyFont="1" applyBorder="1" applyAlignment="1">
      <alignment horizontal="center" vertical="center" shrinkToFit="1"/>
    </xf>
    <xf numFmtId="0" fontId="2" fillId="0" borderId="3" xfId="3" applyFont="1" applyBorder="1" applyAlignment="1">
      <alignment horizontal="center" vertical="center" shrinkToFit="1"/>
    </xf>
    <xf numFmtId="0" fontId="2" fillId="0" borderId="4" xfId="3" applyFont="1" applyBorder="1" applyAlignment="1">
      <alignment vertical="center" shrinkToFit="1"/>
    </xf>
    <xf numFmtId="0" fontId="2" fillId="0" borderId="5" xfId="3" applyFont="1" applyBorder="1" applyAlignment="1">
      <alignment vertical="center" shrinkToFit="1"/>
    </xf>
    <xf numFmtId="0" fontId="2" fillId="0" borderId="6" xfId="3" applyFont="1" applyBorder="1" applyAlignment="1">
      <alignment vertical="center" shrinkToFit="1"/>
    </xf>
    <xf numFmtId="14" fontId="2" fillId="0" borderId="0" xfId="3" applyNumberFormat="1" applyFont="1">
      <alignment vertical="center"/>
    </xf>
    <xf numFmtId="0" fontId="2" fillId="0" borderId="4" xfId="3" applyFont="1" applyBorder="1" applyAlignment="1">
      <alignment horizontal="center" vertical="center" shrinkToFit="1"/>
    </xf>
    <xf numFmtId="0" fontId="2" fillId="0" borderId="6" xfId="3" applyFont="1" applyBorder="1">
      <alignment vertical="center"/>
    </xf>
    <xf numFmtId="0" fontId="15" fillId="0" borderId="0" xfId="3" applyFont="1">
      <alignment vertical="center"/>
    </xf>
    <xf numFmtId="0" fontId="9" fillId="0" borderId="0" xfId="3" applyFont="1">
      <alignment vertical="center"/>
    </xf>
    <xf numFmtId="0" fontId="2" fillId="0" borderId="0" xfId="3" applyFont="1" applyAlignment="1">
      <alignment horizontal="center" vertical="center" shrinkToFit="1"/>
    </xf>
    <xf numFmtId="0" fontId="2" fillId="0" borderId="7" xfId="3" applyFont="1" applyBorder="1" applyAlignment="1">
      <alignment horizontal="center" vertical="center" shrinkToFit="1"/>
    </xf>
    <xf numFmtId="0" fontId="2" fillId="0" borderId="8" xfId="3" applyFont="1" applyBorder="1" applyAlignment="1">
      <alignment horizontal="center" vertical="center" shrinkToFit="1"/>
    </xf>
    <xf numFmtId="0" fontId="2" fillId="0" borderId="9" xfId="3" applyFont="1" applyBorder="1" applyAlignment="1">
      <alignment horizontal="center" vertical="center" shrinkToFit="1"/>
    </xf>
    <xf numFmtId="0" fontId="2" fillId="0" borderId="10" xfId="3" applyFont="1" applyBorder="1" applyAlignment="1">
      <alignment horizontal="center" vertical="center" shrinkToFit="1"/>
    </xf>
    <xf numFmtId="0" fontId="2" fillId="0" borderId="11" xfId="3" applyFont="1" applyBorder="1" applyAlignment="1">
      <alignment horizontal="center" vertical="center" shrinkToFit="1"/>
    </xf>
    <xf numFmtId="0" fontId="2" fillId="0" borderId="12" xfId="3" applyFont="1" applyBorder="1" applyAlignment="1">
      <alignment horizontal="center" vertical="center" shrinkToFit="1"/>
    </xf>
    <xf numFmtId="0" fontId="10" fillId="0" borderId="13" xfId="3" applyFont="1" applyBorder="1" applyAlignment="1">
      <alignment horizontal="center" vertical="center" shrinkToFit="1"/>
    </xf>
    <xf numFmtId="0" fontId="2" fillId="0" borderId="14" xfId="3" applyFont="1" applyBorder="1" applyAlignment="1">
      <alignment horizontal="center" vertical="center" shrinkToFit="1"/>
    </xf>
    <xf numFmtId="0" fontId="17" fillId="2" borderId="0" xfId="3" applyFont="1" applyFill="1">
      <alignment vertical="center"/>
    </xf>
    <xf numFmtId="0" fontId="18" fillId="5" borderId="0" xfId="3" applyFont="1" applyFill="1" applyAlignment="1">
      <alignment vertical="top" shrinkToFit="1"/>
    </xf>
    <xf numFmtId="0" fontId="19" fillId="5" borderId="0" xfId="3" applyFont="1" applyFill="1" applyAlignment="1">
      <alignment vertical="top" shrinkToFit="1"/>
    </xf>
    <xf numFmtId="0" fontId="20" fillId="6" borderId="0" xfId="0" applyFont="1" applyFill="1" applyAlignment="1">
      <alignment vertical="top"/>
    </xf>
    <xf numFmtId="0" fontId="20" fillId="6" borderId="0" xfId="0" applyFont="1" applyFill="1" applyAlignment="1">
      <alignment vertical="top" shrinkToFit="1"/>
    </xf>
    <xf numFmtId="0" fontId="20" fillId="7" borderId="0" xfId="0" applyFont="1" applyFill="1" applyAlignment="1">
      <alignment vertical="top"/>
    </xf>
    <xf numFmtId="0" fontId="18" fillId="7" borderId="0" xfId="0" applyFont="1" applyFill="1" applyAlignment="1">
      <alignment vertical="top" shrinkToFit="1"/>
    </xf>
    <xf numFmtId="0" fontId="21" fillId="3" borderId="0" xfId="0" applyFont="1" applyFill="1" applyAlignment="1">
      <alignment vertical="top" shrinkToFit="1"/>
    </xf>
    <xf numFmtId="0" fontId="18" fillId="7" borderId="0" xfId="0" applyFont="1" applyFill="1" applyAlignment="1">
      <alignment vertical="top" wrapText="1" shrinkToFit="1"/>
    </xf>
    <xf numFmtId="0" fontId="23" fillId="6" borderId="0" xfId="0" applyFont="1" applyFill="1" applyAlignment="1">
      <alignment vertical="top" wrapText="1" shrinkToFit="1"/>
    </xf>
    <xf numFmtId="0" fontId="18" fillId="7" borderId="4" xfId="0" applyFont="1" applyFill="1" applyBorder="1" applyAlignment="1">
      <alignment vertical="top" shrinkToFit="1"/>
    </xf>
    <xf numFmtId="9" fontId="25" fillId="7" borderId="0" xfId="1" applyFont="1" applyFill="1" applyBorder="1" applyAlignment="1">
      <alignment vertical="top" wrapText="1" shrinkToFit="1"/>
    </xf>
    <xf numFmtId="0" fontId="25" fillId="7" borderId="0" xfId="0" applyFont="1" applyFill="1" applyAlignment="1">
      <alignment vertical="top" wrapText="1" shrinkToFit="1"/>
    </xf>
    <xf numFmtId="0" fontId="27" fillId="6" borderId="0" xfId="0" applyFont="1" applyFill="1" applyAlignment="1">
      <alignment vertical="top" wrapText="1" shrinkToFit="1"/>
    </xf>
    <xf numFmtId="0" fontId="18" fillId="7" borderId="0" xfId="0" applyFont="1" applyFill="1" applyAlignment="1">
      <alignment vertical="top" wrapText="1"/>
    </xf>
    <xf numFmtId="0" fontId="18" fillId="7" borderId="0" xfId="0" applyFont="1" applyFill="1" applyAlignment="1">
      <alignment vertical="top"/>
    </xf>
    <xf numFmtId="0" fontId="18" fillId="6" borderId="0" xfId="0" applyFont="1" applyFill="1" applyAlignment="1">
      <alignment vertical="top" shrinkToFit="1"/>
    </xf>
    <xf numFmtId="0" fontId="28" fillId="2" borderId="0" xfId="0" applyFont="1" applyFill="1" applyAlignment="1">
      <alignment vertical="center"/>
    </xf>
    <xf numFmtId="0" fontId="29" fillId="0" borderId="0" xfId="0" applyFont="1" applyAlignment="1">
      <alignment vertical="center"/>
    </xf>
    <xf numFmtId="0" fontId="28" fillId="0" borderId="0" xfId="0" applyFont="1" applyAlignment="1">
      <alignment vertical="center"/>
    </xf>
    <xf numFmtId="14" fontId="2" fillId="0" borderId="0" xfId="3" applyNumberFormat="1" applyFont="1" applyAlignment="1">
      <alignment vertical="center" shrinkToFit="1"/>
    </xf>
    <xf numFmtId="0" fontId="33" fillId="0" borderId="0" xfId="5" applyFont="1" applyAlignment="1">
      <alignment vertical="center" shrinkToFit="1"/>
    </xf>
    <xf numFmtId="0" fontId="33" fillId="2" borderId="0" xfId="5" applyFont="1" applyFill="1" applyAlignment="1">
      <alignment vertical="center" shrinkToFit="1"/>
    </xf>
    <xf numFmtId="0" fontId="2" fillId="0" borderId="0" xfId="3" applyFont="1" applyAlignment="1">
      <alignment horizontal="right" vertical="center"/>
    </xf>
    <xf numFmtId="9" fontId="2" fillId="0" borderId="0" xfId="3" applyNumberFormat="1" applyFont="1" applyAlignment="1">
      <alignment horizontal="right" vertical="center"/>
    </xf>
    <xf numFmtId="2" fontId="10" fillId="0" borderId="0" xfId="3" applyNumberFormat="1" applyFont="1" applyAlignment="1">
      <alignment horizontal="right" vertical="center"/>
    </xf>
    <xf numFmtId="164" fontId="2" fillId="0" borderId="0" xfId="3" applyNumberFormat="1" applyFont="1" applyAlignment="1">
      <alignment horizontal="right" vertical="center"/>
    </xf>
    <xf numFmtId="1" fontId="2" fillId="0" borderId="0" xfId="6" applyNumberFormat="1" applyFont="1" applyAlignment="1">
      <alignment horizontal="right" vertical="center"/>
    </xf>
    <xf numFmtId="165" fontId="2" fillId="0" borderId="0" xfId="3" applyNumberFormat="1" applyFont="1">
      <alignment vertical="center"/>
    </xf>
    <xf numFmtId="0" fontId="34" fillId="0" borderId="0" xfId="0" quotePrefix="1" applyFont="1" applyAlignment="1">
      <alignment shrinkToFit="1"/>
    </xf>
    <xf numFmtId="165" fontId="0" fillId="0" borderId="0" xfId="0" applyNumberFormat="1"/>
    <xf numFmtId="0" fontId="34" fillId="0" borderId="0" xfId="0" applyFont="1" applyAlignment="1">
      <alignment shrinkToFit="1"/>
    </xf>
    <xf numFmtId="2" fontId="2" fillId="0" borderId="0" xfId="3" applyNumberFormat="1" applyFont="1" applyAlignment="1">
      <alignment horizontal="right" vertical="center"/>
    </xf>
    <xf numFmtId="0" fontId="2" fillId="0" borderId="0" xfId="6" applyFont="1" applyAlignment="1">
      <alignment horizontal="right" vertical="center"/>
    </xf>
    <xf numFmtId="9" fontId="33" fillId="0" borderId="0" xfId="3" applyNumberFormat="1" applyFont="1" applyAlignment="1">
      <alignment horizontal="right" vertical="center"/>
    </xf>
    <xf numFmtId="0" fontId="35" fillId="0" borderId="0" xfId="3" applyFont="1" applyAlignment="1">
      <alignment horizontal="right" vertical="center"/>
    </xf>
    <xf numFmtId="1" fontId="33" fillId="0" borderId="0" xfId="6" applyNumberFormat="1" applyFont="1" applyAlignment="1">
      <alignment horizontal="right" vertical="center"/>
    </xf>
    <xf numFmtId="0" fontId="33" fillId="0" borderId="0" xfId="3" applyFont="1">
      <alignment vertical="center"/>
    </xf>
    <xf numFmtId="49" fontId="2" fillId="0" borderId="0" xfId="3" applyNumberFormat="1" applyFont="1" applyAlignment="1">
      <alignment horizontal="right" vertical="center"/>
    </xf>
    <xf numFmtId="0" fontId="36" fillId="0" borderId="0" xfId="3" applyFont="1" applyAlignment="1">
      <alignment horizontal="right" vertical="center"/>
    </xf>
    <xf numFmtId="14" fontId="33" fillId="0" borderId="0" xfId="3" applyNumberFormat="1" applyFont="1" applyAlignment="1">
      <alignment vertical="center" shrinkToFit="1"/>
    </xf>
    <xf numFmtId="0" fontId="33" fillId="0" borderId="0" xfId="3" applyFont="1" applyAlignment="1">
      <alignment vertical="center" shrinkToFit="1"/>
    </xf>
    <xf numFmtId="0" fontId="33" fillId="0" borderId="0" xfId="3" applyFont="1" applyAlignment="1">
      <alignment horizontal="right" vertical="center"/>
    </xf>
    <xf numFmtId="2" fontId="37" fillId="0" borderId="0" xfId="3" applyNumberFormat="1" applyFont="1" applyAlignment="1">
      <alignment horizontal="right" vertical="center"/>
    </xf>
    <xf numFmtId="0" fontId="37" fillId="0" borderId="0" xfId="3" applyFont="1" applyAlignment="1">
      <alignment horizontal="right" vertical="center"/>
    </xf>
    <xf numFmtId="164" fontId="37" fillId="0" borderId="0" xfId="3" applyNumberFormat="1" applyFont="1" applyAlignment="1">
      <alignment horizontal="right" vertical="center"/>
    </xf>
    <xf numFmtId="0" fontId="10" fillId="0" borderId="0" xfId="3" applyFont="1">
      <alignment vertical="center"/>
    </xf>
    <xf numFmtId="0" fontId="38" fillId="0" borderId="0" xfId="3" applyFont="1" applyAlignment="1">
      <alignment horizontal="right" vertical="center"/>
    </xf>
    <xf numFmtId="0" fontId="10" fillId="0" borderId="0" xfId="3" applyFont="1" applyAlignment="1">
      <alignment horizontal="right" vertical="center"/>
    </xf>
    <xf numFmtId="164" fontId="10" fillId="0" borderId="0" xfId="3" applyNumberFormat="1" applyFont="1" applyAlignment="1">
      <alignment horizontal="right" vertical="center"/>
    </xf>
    <xf numFmtId="2" fontId="33" fillId="0" borderId="0" xfId="3" applyNumberFormat="1" applyFont="1" applyAlignment="1">
      <alignment horizontal="right" vertical="center"/>
    </xf>
    <xf numFmtId="0" fontId="39" fillId="0" borderId="0" xfId="6" applyFont="1" applyAlignment="1">
      <alignment horizontal="right" vertical="center"/>
    </xf>
    <xf numFmtId="164" fontId="33" fillId="0" borderId="0" xfId="3" applyNumberFormat="1" applyFont="1" applyAlignment="1">
      <alignment horizontal="right" vertical="center"/>
    </xf>
    <xf numFmtId="0" fontId="37" fillId="0" borderId="0" xfId="3" applyFont="1">
      <alignment vertical="center"/>
    </xf>
    <xf numFmtId="0" fontId="33" fillId="0" borderId="0" xfId="6" applyFont="1" applyAlignment="1">
      <alignment horizontal="right" vertical="center"/>
    </xf>
    <xf numFmtId="0" fontId="33" fillId="0" borderId="0" xfId="3" quotePrefix="1" applyFont="1">
      <alignment vertical="center"/>
    </xf>
    <xf numFmtId="2" fontId="40" fillId="0" borderId="0" xfId="3" applyNumberFormat="1" applyFont="1" applyAlignment="1">
      <alignment horizontal="right" vertical="center"/>
    </xf>
    <xf numFmtId="2" fontId="39" fillId="0" borderId="0" xfId="3" applyNumberFormat="1" applyFont="1" applyAlignment="1">
      <alignment horizontal="right" vertical="center"/>
    </xf>
    <xf numFmtId="0" fontId="38" fillId="0" borderId="0" xfId="5" applyFont="1" applyAlignment="1">
      <alignment vertical="center" shrinkToFit="1"/>
    </xf>
    <xf numFmtId="164" fontId="38" fillId="0" borderId="0" xfId="3" applyNumberFormat="1" applyFont="1" applyAlignment="1">
      <alignment horizontal="right" vertical="center"/>
    </xf>
    <xf numFmtId="49" fontId="33" fillId="0" borderId="0" xfId="3" applyNumberFormat="1" applyFont="1" applyAlignment="1">
      <alignment horizontal="right" vertical="center"/>
    </xf>
    <xf numFmtId="2" fontId="10" fillId="0" borderId="0" xfId="3" applyNumberFormat="1" applyFont="1">
      <alignment vertical="center"/>
    </xf>
    <xf numFmtId="164" fontId="2" fillId="0" borderId="0" xfId="3" applyNumberFormat="1" applyFont="1">
      <alignment vertical="center"/>
    </xf>
    <xf numFmtId="164" fontId="40" fillId="0" borderId="0" xfId="3" applyNumberFormat="1" applyFont="1" applyAlignment="1">
      <alignment horizontal="right" vertical="center"/>
    </xf>
    <xf numFmtId="0" fontId="35" fillId="0" borderId="0" xfId="3" applyFont="1">
      <alignment vertical="center"/>
    </xf>
    <xf numFmtId="0" fontId="39" fillId="0" borderId="0" xfId="3" applyFont="1" applyAlignment="1">
      <alignment horizontal="right" vertical="center"/>
    </xf>
    <xf numFmtId="0" fontId="38" fillId="0" borderId="0" xfId="3" applyFont="1" applyAlignment="1">
      <alignment vertical="center" shrinkToFit="1"/>
    </xf>
    <xf numFmtId="0" fontId="38" fillId="0" borderId="0" xfId="3" applyFont="1">
      <alignment vertical="center"/>
    </xf>
    <xf numFmtId="9" fontId="38" fillId="0" borderId="0" xfId="3" applyNumberFormat="1" applyFont="1" applyAlignment="1">
      <alignment horizontal="right" vertical="center"/>
    </xf>
    <xf numFmtId="164" fontId="36" fillId="0" borderId="0" xfId="3" applyNumberFormat="1" applyFont="1" applyAlignment="1">
      <alignment horizontal="right" vertical="center"/>
    </xf>
    <xf numFmtId="49" fontId="38" fillId="0" borderId="0" xfId="3" applyNumberFormat="1" applyFont="1" applyAlignment="1">
      <alignment horizontal="right" vertical="center"/>
    </xf>
    <xf numFmtId="0" fontId="39" fillId="0" borderId="0" xfId="3" applyFont="1">
      <alignment vertical="center"/>
    </xf>
    <xf numFmtId="0" fontId="10" fillId="0" borderId="0" xfId="6" applyFont="1" applyAlignment="1">
      <alignment horizontal="right" vertical="center"/>
    </xf>
    <xf numFmtId="9" fontId="41" fillId="0" borderId="0" xfId="3" quotePrefix="1" applyNumberFormat="1" applyFont="1" applyAlignment="1">
      <alignment horizontal="right" vertical="center" wrapText="1"/>
    </xf>
    <xf numFmtId="0" fontId="34" fillId="0" borderId="0" xfId="0" applyFont="1" applyAlignment="1">
      <alignment wrapText="1"/>
    </xf>
    <xf numFmtId="0" fontId="43" fillId="0" borderId="0" xfId="2" applyFont="1" applyBorder="1" applyAlignment="1">
      <alignment vertical="center"/>
    </xf>
    <xf numFmtId="0" fontId="18" fillId="7" borderId="6" xfId="0" applyFont="1" applyFill="1" applyBorder="1" applyAlignment="1">
      <alignment vertical="top" shrinkToFit="1"/>
    </xf>
    <xf numFmtId="0" fontId="18" fillId="7" borderId="6" xfId="0" applyFont="1" applyFill="1" applyBorder="1" applyAlignment="1">
      <alignment vertical="top" wrapText="1" shrinkToFit="1"/>
    </xf>
    <xf numFmtId="9" fontId="25" fillId="7" borderId="5" xfId="1" applyFont="1" applyFill="1" applyBorder="1" applyAlignment="1">
      <alignment vertical="top" wrapText="1" shrinkToFit="1"/>
    </xf>
    <xf numFmtId="0" fontId="25" fillId="7" borderId="4" xfId="0" applyFont="1" applyFill="1" applyBorder="1" applyAlignment="1">
      <alignment vertical="top" wrapText="1" shrinkToFit="1"/>
    </xf>
    <xf numFmtId="14" fontId="3" fillId="0" borderId="0" xfId="3" applyNumberFormat="1" applyFont="1" applyAlignment="1">
      <alignment vertical="center" shrinkToFit="1"/>
    </xf>
    <xf numFmtId="2" fontId="38" fillId="2" borderId="0" xfId="3" applyNumberFormat="1" applyFont="1" applyFill="1" applyAlignment="1">
      <alignment horizontal="right" vertical="center"/>
    </xf>
    <xf numFmtId="0" fontId="10" fillId="0" borderId="0" xfId="3" applyFont="1" applyAlignment="1">
      <alignment horizontal="right" vertical="center" wrapText="1"/>
    </xf>
    <xf numFmtId="166" fontId="2" fillId="0" borderId="0" xfId="3" applyNumberFormat="1" applyFont="1" applyAlignment="1">
      <alignment horizontal="right" vertical="center"/>
    </xf>
    <xf numFmtId="0" fontId="43" fillId="0" borderId="0" xfId="2" applyFont="1"/>
    <xf numFmtId="2" fontId="38" fillId="0" borderId="0" xfId="3" applyNumberFormat="1" applyFont="1" applyAlignment="1">
      <alignment horizontal="right" vertical="center"/>
    </xf>
    <xf numFmtId="166" fontId="38" fillId="0" borderId="0" xfId="3" applyNumberFormat="1" applyFont="1" applyAlignment="1">
      <alignment horizontal="right" vertical="center"/>
    </xf>
    <xf numFmtId="0" fontId="2" fillId="0" borderId="0" xfId="3" applyFont="1" applyAlignment="1">
      <alignment horizontal="right" vertical="center" wrapText="1"/>
    </xf>
    <xf numFmtId="166" fontId="39" fillId="0" borderId="0" xfId="3" applyNumberFormat="1" applyFont="1" applyAlignment="1">
      <alignment horizontal="right" vertical="center"/>
    </xf>
    <xf numFmtId="166" fontId="10" fillId="0" borderId="0" xfId="3" applyNumberFormat="1" applyFont="1" applyAlignment="1">
      <alignment horizontal="right" vertical="center"/>
    </xf>
  </cellXfs>
  <cellStyles count="7">
    <cellStyle name="Hyperlink" xfId="2" builtinId="8"/>
    <cellStyle name="Normal" xfId="0" builtinId="0"/>
    <cellStyle name="Percent" xfId="1" builtinId="5"/>
    <cellStyle name="標準 5 3" xfId="5" xr:uid="{34EC67A1-BA83-4AC1-8604-E80B099436BE}"/>
    <cellStyle name="標準 5 3 2" xfId="4" xr:uid="{493BBCFF-57B7-4390-B471-E788A30B92AB}"/>
    <cellStyle name="標準 8 2 2" xfId="3" xr:uid="{AAE94CA0-6A51-4276-AD54-17B87675368C}"/>
    <cellStyle name="標準 9 3" xfId="6" xr:uid="{9D318B10-809B-4177-BDCA-81F59636F8BD}"/>
  </cellStyles>
  <dxfs count="54">
    <dxf>
      <font>
        <outline val="0"/>
        <shadow val="0"/>
        <u val="none"/>
        <vertAlign val="baseline"/>
        <name val="Arial"/>
        <scheme val="none"/>
      </font>
    </dxf>
    <dxf>
      <font>
        <outline val="0"/>
        <shadow val="0"/>
        <u val="none"/>
        <vertAlign val="baseline"/>
        <name val="Arial"/>
        <scheme val="none"/>
      </font>
    </dxf>
    <dxf>
      <font>
        <outline val="0"/>
        <shadow val="0"/>
        <u val="none"/>
        <vertAlign val="baseline"/>
        <name val="Arial"/>
        <scheme val="none"/>
      </font>
      <numFmt numFmtId="0" formatCode="General"/>
    </dxf>
    <dxf>
      <font>
        <outline val="0"/>
        <shadow val="0"/>
        <u val="none"/>
        <vertAlign val="baseline"/>
        <name val="Arial"/>
        <scheme val="none"/>
      </font>
      <numFmt numFmtId="0" formatCode="General"/>
    </dxf>
    <dxf>
      <font>
        <outline val="0"/>
        <shadow val="0"/>
        <u val="none"/>
        <vertAlign val="baseline"/>
        <name val="Arial"/>
        <scheme val="none"/>
      </font>
      <numFmt numFmtId="0" formatCode="General"/>
    </dxf>
    <dxf>
      <font>
        <outline val="0"/>
        <shadow val="0"/>
        <u val="none"/>
        <vertAlign val="baseline"/>
        <sz val="11"/>
        <color theme="1"/>
        <name val="Arial"/>
        <scheme val="none"/>
      </font>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name val="Arial"/>
        <scheme val="none"/>
      </font>
    </dxf>
    <dxf>
      <font>
        <b val="0"/>
        <i val="0"/>
        <strike val="0"/>
        <condense val="0"/>
        <extend val="0"/>
        <outline val="0"/>
        <shadow val="0"/>
        <u val="none"/>
        <vertAlign val="baseline"/>
        <sz val="11"/>
        <color theme="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outline val="0"/>
        <shadow val="0"/>
        <u val="none"/>
        <vertAlign val="baseline"/>
        <sz val="11"/>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theme="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outline val="0"/>
        <shadow val="0"/>
        <u val="none"/>
        <vertAlign val="baseline"/>
        <sz val="11"/>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numFmt numFmtId="0" formatCode="General"/>
      <alignment horizontal="right" vertical="center" textRotation="0" wrapText="0" indent="0" justifyLastLine="0" shrinkToFit="0" readingOrder="0"/>
    </dxf>
    <dxf>
      <font>
        <outline val="0"/>
        <shadow val="0"/>
        <u val="none"/>
        <vertAlign val="baseline"/>
        <sz val="11"/>
        <color theme="1"/>
        <name val="Arial"/>
        <family val="2"/>
        <scheme val="none"/>
      </font>
      <numFmt numFmtId="164" formatCode="0.0_);[Red]\(0.0\)"/>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alignment horizontal="right" vertical="center" textRotation="0" wrapText="0" indent="0" justifyLastLine="0" shrinkToFit="0" readingOrder="0"/>
    </dxf>
    <dxf>
      <font>
        <outline val="0"/>
        <shadow val="0"/>
        <u val="none"/>
        <vertAlign val="baseline"/>
        <sz val="11"/>
        <color theme="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auto="1"/>
        <name val="Arial"/>
        <family val="2"/>
        <scheme val="none"/>
      </font>
      <numFmt numFmtId="13" formatCode="0%"/>
      <alignment horizontal="right"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dxf>
    <dxf>
      <font>
        <outline val="0"/>
        <shadow val="0"/>
        <u val="none"/>
        <vertAlign val="baseline"/>
        <sz val="11"/>
        <color theme="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auto="1"/>
        <name val="Arial"/>
        <scheme val="none"/>
      </font>
      <numFmt numFmtId="0" formatCode="General"/>
      <fill>
        <patternFill patternType="solid">
          <fgColor indexed="64"/>
          <bgColor rgb="FFFFFF00"/>
        </patternFill>
      </fill>
      <alignment horizontal="general" vertical="center" textRotation="0" wrapText="0" indent="0" justifyLastLine="0" shrinkToFit="1" readingOrder="0"/>
    </dxf>
    <dxf>
      <font>
        <b val="0"/>
        <i val="0"/>
        <strike val="0"/>
        <condense val="0"/>
        <extend val="0"/>
        <outline val="0"/>
        <shadow val="0"/>
        <u val="none"/>
        <vertAlign val="baseline"/>
        <sz val="11"/>
        <color auto="1"/>
        <name val="Arial"/>
        <family val="2"/>
        <scheme val="none"/>
      </font>
      <alignment horizontal="general" vertical="center" textRotation="0" wrapText="0" indent="0" justifyLastLine="0" shrinkToFit="1" readingOrder="0"/>
    </dxf>
    <dxf>
      <font>
        <outline val="0"/>
        <shadow val="0"/>
        <u val="none"/>
        <vertAlign val="baseline"/>
        <sz val="11"/>
        <color theme="1"/>
        <name val="Arial"/>
        <family val="2"/>
        <scheme val="none"/>
      </font>
    </dxf>
    <dxf>
      <font>
        <b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dxf>
    <dxf>
      <font>
        <outline val="0"/>
        <shadow val="0"/>
        <u val="none"/>
        <vertAlign val="baseline"/>
        <sz val="11"/>
        <color theme="1"/>
        <name val="Arial"/>
        <family val="2"/>
        <scheme val="none"/>
      </font>
      <numFmt numFmtId="0" formatCode="General"/>
    </dxf>
    <dxf>
      <font>
        <outline val="0"/>
        <shadow val="0"/>
        <u val="none"/>
        <vertAlign val="baseline"/>
        <sz val="11"/>
        <color theme="1"/>
        <name val="Arial"/>
        <family val="2"/>
        <scheme val="none"/>
      </font>
    </dxf>
    <dxf>
      <font>
        <outline val="0"/>
        <shadow val="0"/>
        <u val="none"/>
        <vertAlign val="baseline"/>
        <sz val="11"/>
        <color theme="1"/>
        <name val="Arial"/>
        <family val="2"/>
        <scheme val="none"/>
      </font>
      <alignment horizontal="general" vertical="center" textRotation="0" wrapText="0" indent="0" justifyLastLine="0" shrinkToFit="1" readingOrder="0"/>
    </dxf>
    <dxf>
      <font>
        <outline val="0"/>
        <shadow val="0"/>
        <u val="none"/>
        <vertAlign val="baseline"/>
        <sz val="11"/>
        <color theme="1"/>
        <name val="Arial"/>
        <family val="2"/>
        <scheme val="none"/>
      </font>
    </dxf>
    <dxf>
      <font>
        <outline val="0"/>
        <shadow val="0"/>
        <u val="none"/>
        <vertAlign val="baseline"/>
        <sz val="11"/>
        <color theme="1"/>
        <name val="Arial"/>
        <family val="2"/>
        <scheme val="none"/>
      </font>
      <fill>
        <patternFill patternType="none">
          <fgColor indexed="64"/>
          <bgColor indexed="65"/>
        </patternFill>
      </fill>
      <alignment horizontal="general" vertical="center" textRotation="0" wrapText="0" indent="0" justifyLastLine="0" shrinkToFit="1" readingOrder="0"/>
    </dxf>
    <dxf>
      <font>
        <outline val="0"/>
        <shadow val="0"/>
        <u val="none"/>
        <vertAlign val="baseline"/>
        <sz val="11"/>
        <color theme="1"/>
        <name val="Arial"/>
        <family val="2"/>
        <scheme val="none"/>
      </font>
    </dxf>
    <dxf>
      <font>
        <outline val="0"/>
        <shadow val="0"/>
        <u val="none"/>
        <vertAlign val="baseline"/>
        <sz val="11"/>
        <color theme="1"/>
        <name val="Arial"/>
        <family val="2"/>
        <scheme val="none"/>
      </font>
      <alignment horizontal="general" vertical="center" textRotation="0" wrapText="0" indent="0" justifyLastLine="0" shrinkToFit="1" readingOrder="0"/>
    </dxf>
    <dxf>
      <font>
        <outline val="0"/>
        <shadow val="0"/>
        <u val="none"/>
        <vertAlign val="baseline"/>
        <sz val="11"/>
        <color theme="1"/>
        <name val="Arial"/>
        <family val="2"/>
        <scheme val="none"/>
      </font>
    </dxf>
    <dxf>
      <font>
        <outline val="0"/>
        <shadow val="0"/>
        <u val="none"/>
        <vertAlign val="baseline"/>
        <sz val="11"/>
        <color theme="1"/>
        <name val="Arial"/>
        <family val="2"/>
        <scheme val="none"/>
      </font>
    </dxf>
    <dxf>
      <font>
        <outline val="0"/>
        <shadow val="0"/>
        <u val="none"/>
        <vertAlign val="baseline"/>
        <sz val="11"/>
        <color theme="1"/>
        <name val="Arial"/>
        <family val="2"/>
        <scheme val="none"/>
      </font>
    </dxf>
    <dxf>
      <font>
        <outline val="0"/>
        <shadow val="0"/>
        <u val="none"/>
        <vertAlign val="baseline"/>
        <sz val="11"/>
        <color theme="1"/>
        <name val="Arial"/>
        <family val="2"/>
        <scheme val="none"/>
      </font>
    </dxf>
    <dxf>
      <font>
        <outline val="0"/>
        <shadow val="0"/>
        <u val="none"/>
        <vertAlign val="baseline"/>
        <name val="Arial"/>
        <scheme val="none"/>
      </font>
    </dxf>
    <dxf>
      <font>
        <b val="0"/>
        <i val="0"/>
        <strike val="0"/>
        <condense val="0"/>
        <extend val="0"/>
        <outline val="0"/>
        <shadow val="0"/>
        <u val="none"/>
        <vertAlign val="baseline"/>
        <sz val="9"/>
        <color theme="0"/>
        <name val="Arial"/>
        <family val="2"/>
        <scheme val="none"/>
      </font>
      <fill>
        <patternFill patternType="solid">
          <fgColor indexed="64"/>
          <bgColor theme="0" tint="-0.499984740745262"/>
        </patternFill>
      </fill>
      <alignment horizontal="general" vertical="top" textRotation="0" wrapText="0" indent="0" justifyLastLine="0" shrinkToFit="1" readingOrder="0"/>
    </dxf>
    <dxf>
      <font>
        <color rgb="FF9C0006"/>
      </font>
      <fill>
        <patternFill>
          <bgColor rgb="FFFFC7CE"/>
        </patternFill>
      </fill>
    </dxf>
    <dxf>
      <font>
        <b/>
        <i val="0"/>
        <color rgb="FFFF0000"/>
      </font>
    </dxf>
    <dxf>
      <font>
        <b val="0"/>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26</xdr:col>
      <xdr:colOff>17929</xdr:colOff>
      <xdr:row>129</xdr:row>
      <xdr:rowOff>1</xdr:rowOff>
    </xdr:from>
    <xdr:to>
      <xdr:col>27</xdr:col>
      <xdr:colOff>0</xdr:colOff>
      <xdr:row>134</xdr:row>
      <xdr:rowOff>1</xdr:rowOff>
    </xdr:to>
    <xdr:sp macro="" textlink="">
      <xdr:nvSpPr>
        <xdr:cNvPr id="2" name="正方形/長方形 1">
          <a:extLst>
            <a:ext uri="{FF2B5EF4-FFF2-40B4-BE49-F238E27FC236}">
              <a16:creationId xmlns:a16="http://schemas.microsoft.com/office/drawing/2014/main" id="{230527DB-AF50-4987-AA9B-551E8F97128C}"/>
            </a:ext>
          </a:extLst>
        </xdr:cNvPr>
        <xdr:cNvSpPr/>
      </xdr:nvSpPr>
      <xdr:spPr bwMode="auto">
        <a:xfrm>
          <a:off x="20229979" y="24717376"/>
          <a:ext cx="886946" cy="933450"/>
        </a:xfrm>
        <a:prstGeom prst="rect">
          <a:avLst/>
        </a:prstGeom>
        <a:noFill/>
        <a:ln>
          <a:solidFill>
            <a:srgbClr val="FF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l"/>
          <a:r>
            <a:rPr kumimoji="1" lang="ja-JP" altLang="en-US" sz="1100" b="1">
              <a:solidFill>
                <a:srgbClr val="FF0000"/>
              </a:solidFill>
            </a:rPr>
            <a:t>確認済み</a:t>
          </a:r>
          <a:endParaRPr kumimoji="1" lang="en-US" altLang="ja-JP" sz="1100" b="1">
            <a:solidFill>
              <a:srgbClr val="FF0000"/>
            </a:solidFill>
          </a:endParaRPr>
        </a:p>
      </xdr:txBody>
    </xdr:sp>
    <xdr:clientData/>
  </xdr:twoCellAnchor>
  <xdr:twoCellAnchor>
    <xdr:from>
      <xdr:col>62</xdr:col>
      <xdr:colOff>519953</xdr:colOff>
      <xdr:row>0</xdr:row>
      <xdr:rowOff>1</xdr:rowOff>
    </xdr:from>
    <xdr:to>
      <xdr:col>76</xdr:col>
      <xdr:colOff>448235</xdr:colOff>
      <xdr:row>4</xdr:row>
      <xdr:rowOff>89649</xdr:rowOff>
    </xdr:to>
    <xdr:sp macro="" textlink="">
      <xdr:nvSpPr>
        <xdr:cNvPr id="3" name="テキスト ボックス 2">
          <a:extLst>
            <a:ext uri="{FF2B5EF4-FFF2-40B4-BE49-F238E27FC236}">
              <a16:creationId xmlns:a16="http://schemas.microsoft.com/office/drawing/2014/main" id="{0276B4BC-4074-4040-8A2F-D4DFFA529B3A}"/>
            </a:ext>
          </a:extLst>
        </xdr:cNvPr>
        <xdr:cNvSpPr txBox="1"/>
      </xdr:nvSpPr>
      <xdr:spPr>
        <a:xfrm>
          <a:off x="43287203" y="1"/>
          <a:ext cx="9653307" cy="8706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r>
            <a:rPr kumimoji="1" lang="ja-JP" altLang="en-US" sz="1100" b="1">
              <a:latin typeface="Meiryo UI" panose="020B0604030504040204" pitchFamily="50" charset="-128"/>
              <a:ea typeface="Meiryo UI" panose="020B0604030504040204" pitchFamily="50" charset="-128"/>
            </a:rPr>
            <a:t>要取り組み</a:t>
          </a:r>
          <a:endParaRPr kumimoji="1" lang="en-US" altLang="ja-JP" sz="1100" b="1">
            <a:latin typeface="Meiryo UI" panose="020B0604030504040204" pitchFamily="50" charset="-128"/>
            <a:ea typeface="Meiryo UI" panose="020B0604030504040204" pitchFamily="50" charset="-128"/>
          </a:endParaRPr>
        </a:p>
        <a:p>
          <a:r>
            <a:rPr kumimoji="1" lang="ja-JP" altLang="en-US" sz="1100" b="1">
              <a:latin typeface="Meiryo UI" panose="020B0604030504040204" pitchFamily="50" charset="-128"/>
              <a:ea typeface="Meiryo UI" panose="020B0604030504040204" pitchFamily="50" charset="-128"/>
            </a:rPr>
            <a:t>インダクタ選定条件は値の近いものが多いので、ランクを個別のパラメータで付けるのは</a:t>
          </a:r>
          <a:r>
            <a:rPr kumimoji="1" lang="en-US" altLang="ja-JP" sz="1100" b="1">
              <a:latin typeface="Meiryo UI" panose="020B0604030504040204" pitchFamily="50" charset="-128"/>
              <a:ea typeface="Meiryo UI" panose="020B0604030504040204" pitchFamily="50" charset="-128"/>
            </a:rPr>
            <a:t>NG</a:t>
          </a:r>
          <a:r>
            <a:rPr kumimoji="1" lang="ja-JP" altLang="en-US" sz="1100" b="1">
              <a:latin typeface="Meiryo UI" panose="020B0604030504040204" pitchFamily="50" charset="-128"/>
              <a:ea typeface="Meiryo UI" panose="020B0604030504040204" pitchFamily="50" charset="-128"/>
            </a:rPr>
            <a:t>。</a:t>
          </a:r>
          <a:endParaRPr kumimoji="1" lang="en-US" altLang="ja-JP" sz="1100" b="1">
            <a:latin typeface="Meiryo UI" panose="020B0604030504040204" pitchFamily="50" charset="-128"/>
            <a:ea typeface="Meiryo UI" panose="020B0604030504040204" pitchFamily="50" charset="-128"/>
          </a:endParaRPr>
        </a:p>
        <a:p>
          <a:r>
            <a:rPr kumimoji="1" lang="ja-JP" altLang="en-US" sz="1100" b="1">
              <a:latin typeface="Meiryo UI" panose="020B0604030504040204" pitchFamily="50" charset="-128"/>
              <a:ea typeface="Meiryo UI" panose="020B0604030504040204" pitchFamily="50" charset="-128"/>
            </a:rPr>
            <a:t>総合的に価の大きいものを上位表示する方がよさげ。→のちの課題として改善する。→済み。</a:t>
          </a:r>
          <a:endParaRPr kumimoji="1" lang="en-US" altLang="ja-JP" sz="1100" b="1">
            <a:latin typeface="Meiryo UI" panose="020B0604030504040204" pitchFamily="50" charset="-128"/>
            <a:ea typeface="Meiryo UI" panose="020B0604030504040204" pitchFamily="50" charset="-128"/>
          </a:endParaRPr>
        </a:p>
      </xdr:txBody>
    </xdr:sp>
    <xdr:clientData/>
  </xdr:twoCellAnchor>
  <xdr:twoCellAnchor>
    <xdr:from>
      <xdr:col>26</xdr:col>
      <xdr:colOff>17929</xdr:colOff>
      <xdr:row>129</xdr:row>
      <xdr:rowOff>1</xdr:rowOff>
    </xdr:from>
    <xdr:to>
      <xdr:col>27</xdr:col>
      <xdr:colOff>0</xdr:colOff>
      <xdr:row>134</xdr:row>
      <xdr:rowOff>1</xdr:rowOff>
    </xdr:to>
    <xdr:sp macro="" textlink="">
      <xdr:nvSpPr>
        <xdr:cNvPr id="4" name="正方形/長方形 3">
          <a:extLst>
            <a:ext uri="{FF2B5EF4-FFF2-40B4-BE49-F238E27FC236}">
              <a16:creationId xmlns:a16="http://schemas.microsoft.com/office/drawing/2014/main" id="{007F24E2-C443-434D-BF27-CE1F4B82C1CE}"/>
            </a:ext>
          </a:extLst>
        </xdr:cNvPr>
        <xdr:cNvSpPr/>
      </xdr:nvSpPr>
      <xdr:spPr bwMode="auto">
        <a:xfrm>
          <a:off x="20229979" y="24717376"/>
          <a:ext cx="886946" cy="933450"/>
        </a:xfrm>
        <a:prstGeom prst="rect">
          <a:avLst/>
        </a:prstGeom>
        <a:noFill/>
        <a:ln>
          <a:solidFill>
            <a:srgbClr val="FF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l"/>
          <a:r>
            <a:rPr kumimoji="1" lang="ja-JP" altLang="en-US" sz="1100" b="1">
              <a:solidFill>
                <a:srgbClr val="FF0000"/>
              </a:solidFill>
            </a:rPr>
            <a:t>確認済み</a:t>
          </a:r>
          <a:endParaRPr kumimoji="1" lang="en-US" altLang="ja-JP" sz="1100" b="1">
            <a:solidFill>
              <a:srgbClr val="FF0000"/>
            </a:solidFill>
          </a:endParaRPr>
        </a:p>
      </xdr:txBody>
    </xdr:sp>
    <xdr:clientData/>
  </xdr:twoCellAnchor>
  <xdr:twoCellAnchor>
    <xdr:from>
      <xdr:col>26</xdr:col>
      <xdr:colOff>17929</xdr:colOff>
      <xdr:row>124</xdr:row>
      <xdr:rowOff>0</xdr:rowOff>
    </xdr:from>
    <xdr:to>
      <xdr:col>27</xdr:col>
      <xdr:colOff>0</xdr:colOff>
      <xdr:row>160</xdr:row>
      <xdr:rowOff>0</xdr:rowOff>
    </xdr:to>
    <xdr:sp macro="" textlink="">
      <xdr:nvSpPr>
        <xdr:cNvPr id="5" name="正方形/長方形 4">
          <a:extLst>
            <a:ext uri="{FF2B5EF4-FFF2-40B4-BE49-F238E27FC236}">
              <a16:creationId xmlns:a16="http://schemas.microsoft.com/office/drawing/2014/main" id="{5700C3D0-0400-443F-9974-FA926B4CAC35}"/>
            </a:ext>
          </a:extLst>
        </xdr:cNvPr>
        <xdr:cNvSpPr/>
      </xdr:nvSpPr>
      <xdr:spPr bwMode="auto">
        <a:xfrm>
          <a:off x="20229979" y="23774400"/>
          <a:ext cx="886946" cy="6734175"/>
        </a:xfrm>
        <a:prstGeom prst="rect">
          <a:avLst/>
        </a:prstGeom>
        <a:noFill/>
        <a:ln>
          <a:solidFill>
            <a:srgbClr val="FF0000"/>
          </a:solid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l"/>
          <a:r>
            <a:rPr kumimoji="1" lang="ja-JP" altLang="en-US" sz="900" b="1">
              <a:solidFill>
                <a:srgbClr val="FF0000"/>
              </a:solidFill>
            </a:rPr>
            <a:t>指導により</a:t>
          </a:r>
          <a:endParaRPr kumimoji="1" lang="en-US" altLang="ja-JP" sz="900" b="1">
            <a:solidFill>
              <a:srgbClr val="FF0000"/>
            </a:solidFill>
          </a:endParaRPr>
        </a:p>
        <a:p>
          <a:pPr algn="l"/>
          <a:r>
            <a:rPr kumimoji="1" lang="ja-JP" altLang="en-US" sz="900" b="1">
              <a:solidFill>
                <a:srgbClr val="FF0000"/>
              </a:solidFill>
            </a:rPr>
            <a:t>データ</a:t>
          </a:r>
          <a:endParaRPr kumimoji="1" lang="en-US" altLang="ja-JP" sz="900" b="1">
            <a:solidFill>
              <a:srgbClr val="FF0000"/>
            </a:solidFill>
          </a:endParaRPr>
        </a:p>
        <a:p>
          <a:pPr algn="l"/>
          <a:r>
            <a:rPr kumimoji="1" lang="ja-JP" altLang="en-US" sz="900" b="1">
              <a:solidFill>
                <a:srgbClr val="FF0000"/>
              </a:solidFill>
            </a:rPr>
            <a:t>シートから</a:t>
          </a:r>
          <a:endParaRPr kumimoji="1" lang="en-US" altLang="ja-JP" sz="900" b="1">
            <a:solidFill>
              <a:srgbClr val="FF0000"/>
            </a:solidFill>
          </a:endParaRPr>
        </a:p>
        <a:p>
          <a:pPr algn="l"/>
          <a:r>
            <a:rPr kumimoji="1" lang="ja-JP" altLang="en-US" sz="900" b="1">
              <a:solidFill>
                <a:srgbClr val="FF0000"/>
              </a:solidFill>
            </a:rPr>
            <a:t>読み取り</a:t>
          </a:r>
          <a:endParaRPr kumimoji="1" lang="en-US" altLang="ja-JP" sz="900" b="1">
            <a:solidFill>
              <a:srgbClr val="FF0000"/>
            </a:solidFill>
          </a:endParaRPr>
        </a:p>
      </xdr:txBody>
    </xdr:sp>
    <xdr:clientData/>
  </xdr:twoCellAnchor>
  <xdr:twoCellAnchor>
    <xdr:from>
      <xdr:col>26</xdr:col>
      <xdr:colOff>276904</xdr:colOff>
      <xdr:row>162</xdr:row>
      <xdr:rowOff>32198</xdr:rowOff>
    </xdr:from>
    <xdr:to>
      <xdr:col>27</xdr:col>
      <xdr:colOff>32609</xdr:colOff>
      <xdr:row>164</xdr:row>
      <xdr:rowOff>126508</xdr:rowOff>
    </xdr:to>
    <xdr:grpSp>
      <xdr:nvGrpSpPr>
        <xdr:cNvPr id="6" name="グループ化 6">
          <a:extLst>
            <a:ext uri="{FF2B5EF4-FFF2-40B4-BE49-F238E27FC236}">
              <a16:creationId xmlns:a16="http://schemas.microsoft.com/office/drawing/2014/main" id="{802550AB-56B2-4BA5-B490-9DC6C131EF89}"/>
            </a:ext>
          </a:extLst>
        </xdr:cNvPr>
        <xdr:cNvGrpSpPr/>
      </xdr:nvGrpSpPr>
      <xdr:grpSpPr>
        <a:xfrm>
          <a:off x="20479930" y="30411935"/>
          <a:ext cx="658074" cy="445231"/>
          <a:chOff x="335280" y="1598610"/>
          <a:chExt cx="1068694" cy="1068693"/>
        </a:xfrm>
        <a:noFill/>
      </xdr:grpSpPr>
      <xdr:grpSp>
        <xdr:nvGrpSpPr>
          <xdr:cNvPr id="7" name="グループ化 7">
            <a:extLst>
              <a:ext uri="{FF2B5EF4-FFF2-40B4-BE49-F238E27FC236}">
                <a16:creationId xmlns:a16="http://schemas.microsoft.com/office/drawing/2014/main" id="{DEC52FD0-8609-4BEA-FC1F-5BC5722CD145}"/>
              </a:ext>
            </a:extLst>
          </xdr:cNvPr>
          <xdr:cNvGrpSpPr/>
        </xdr:nvGrpSpPr>
        <xdr:grpSpPr>
          <a:xfrm>
            <a:off x="335280" y="1598610"/>
            <a:ext cx="216000" cy="1068693"/>
            <a:chOff x="335280" y="1598610"/>
            <a:chExt cx="216000" cy="1068693"/>
          </a:xfrm>
          <a:grpFill/>
        </xdr:grpSpPr>
        <xdr:sp macro="" textlink="">
          <xdr:nvSpPr>
            <xdr:cNvPr id="32" name="正方形/長方形 32">
              <a:extLst>
                <a:ext uri="{FF2B5EF4-FFF2-40B4-BE49-F238E27FC236}">
                  <a16:creationId xmlns:a16="http://schemas.microsoft.com/office/drawing/2014/main" id="{F8A5E7E7-F924-8A9D-2013-2CC326EC67EF}"/>
                </a:ext>
              </a:extLst>
            </xdr:cNvPr>
            <xdr:cNvSpPr/>
          </xdr:nvSpPr>
          <xdr:spPr>
            <a:xfrm>
              <a:off x="335280" y="159861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3" name="正方形/長方形 33">
              <a:extLst>
                <a:ext uri="{FF2B5EF4-FFF2-40B4-BE49-F238E27FC236}">
                  <a16:creationId xmlns:a16="http://schemas.microsoft.com/office/drawing/2014/main" id="{788AFDF6-5CDF-4F75-7ABB-6498DD15D3C3}"/>
                </a:ext>
              </a:extLst>
            </xdr:cNvPr>
            <xdr:cNvSpPr/>
          </xdr:nvSpPr>
          <xdr:spPr>
            <a:xfrm>
              <a:off x="335280" y="1811784"/>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4" name="正方形/長方形 34">
              <a:extLst>
                <a:ext uri="{FF2B5EF4-FFF2-40B4-BE49-F238E27FC236}">
                  <a16:creationId xmlns:a16="http://schemas.microsoft.com/office/drawing/2014/main" id="{478C98BB-0B6C-8726-A8D8-0B087FA5F3D7}"/>
                </a:ext>
              </a:extLst>
            </xdr:cNvPr>
            <xdr:cNvSpPr/>
          </xdr:nvSpPr>
          <xdr:spPr>
            <a:xfrm>
              <a:off x="335280" y="2024957"/>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5" name="正方形/長方形 35">
              <a:extLst>
                <a:ext uri="{FF2B5EF4-FFF2-40B4-BE49-F238E27FC236}">
                  <a16:creationId xmlns:a16="http://schemas.microsoft.com/office/drawing/2014/main" id="{4E8F638C-FD79-5B23-A25D-8AC031FBDE59}"/>
                </a:ext>
              </a:extLst>
            </xdr:cNvPr>
            <xdr:cNvSpPr/>
          </xdr:nvSpPr>
          <xdr:spPr>
            <a:xfrm>
              <a:off x="335280" y="223813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6" name="正方形/長方形 36">
              <a:extLst>
                <a:ext uri="{FF2B5EF4-FFF2-40B4-BE49-F238E27FC236}">
                  <a16:creationId xmlns:a16="http://schemas.microsoft.com/office/drawing/2014/main" id="{04334B67-3D6A-5E47-EFC3-8DB2804D9587}"/>
                </a:ext>
              </a:extLst>
            </xdr:cNvPr>
            <xdr:cNvSpPr/>
          </xdr:nvSpPr>
          <xdr:spPr>
            <a:xfrm>
              <a:off x="335280" y="2451303"/>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grpSp>
      <xdr:grpSp>
        <xdr:nvGrpSpPr>
          <xdr:cNvPr id="8" name="グループ化 8">
            <a:extLst>
              <a:ext uri="{FF2B5EF4-FFF2-40B4-BE49-F238E27FC236}">
                <a16:creationId xmlns:a16="http://schemas.microsoft.com/office/drawing/2014/main" id="{C5B6AA9A-737B-1F57-6B52-4E3CEAEFA913}"/>
              </a:ext>
            </a:extLst>
          </xdr:cNvPr>
          <xdr:cNvGrpSpPr/>
        </xdr:nvGrpSpPr>
        <xdr:grpSpPr>
          <a:xfrm>
            <a:off x="548454" y="1598610"/>
            <a:ext cx="216000" cy="1068693"/>
            <a:chOff x="335280" y="1598610"/>
            <a:chExt cx="216000" cy="1068693"/>
          </a:xfrm>
          <a:grpFill/>
        </xdr:grpSpPr>
        <xdr:sp macro="" textlink="">
          <xdr:nvSpPr>
            <xdr:cNvPr id="27" name="正方形/長方形 27">
              <a:extLst>
                <a:ext uri="{FF2B5EF4-FFF2-40B4-BE49-F238E27FC236}">
                  <a16:creationId xmlns:a16="http://schemas.microsoft.com/office/drawing/2014/main" id="{6E3AC555-684C-979D-D543-EF4E9887BB0F}"/>
                </a:ext>
              </a:extLst>
            </xdr:cNvPr>
            <xdr:cNvSpPr/>
          </xdr:nvSpPr>
          <xdr:spPr>
            <a:xfrm>
              <a:off x="335280" y="159861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8" name="正方形/長方形 28">
              <a:extLst>
                <a:ext uri="{FF2B5EF4-FFF2-40B4-BE49-F238E27FC236}">
                  <a16:creationId xmlns:a16="http://schemas.microsoft.com/office/drawing/2014/main" id="{CC30B8A5-A50F-05E8-4BDC-BCE7E5A97071}"/>
                </a:ext>
              </a:extLst>
            </xdr:cNvPr>
            <xdr:cNvSpPr/>
          </xdr:nvSpPr>
          <xdr:spPr>
            <a:xfrm>
              <a:off x="335280" y="1811784"/>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9" name="正方形/長方形 29">
              <a:extLst>
                <a:ext uri="{FF2B5EF4-FFF2-40B4-BE49-F238E27FC236}">
                  <a16:creationId xmlns:a16="http://schemas.microsoft.com/office/drawing/2014/main" id="{6A88FF66-353A-FBE5-CA70-87AF4E44E541}"/>
                </a:ext>
              </a:extLst>
            </xdr:cNvPr>
            <xdr:cNvSpPr/>
          </xdr:nvSpPr>
          <xdr:spPr>
            <a:xfrm>
              <a:off x="335280" y="2024957"/>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0" name="正方形/長方形 30">
              <a:extLst>
                <a:ext uri="{FF2B5EF4-FFF2-40B4-BE49-F238E27FC236}">
                  <a16:creationId xmlns:a16="http://schemas.microsoft.com/office/drawing/2014/main" id="{DC982BA0-101A-3E12-709E-FF0860613627}"/>
                </a:ext>
              </a:extLst>
            </xdr:cNvPr>
            <xdr:cNvSpPr/>
          </xdr:nvSpPr>
          <xdr:spPr>
            <a:xfrm>
              <a:off x="335280" y="223813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31" name="正方形/長方形 31">
              <a:extLst>
                <a:ext uri="{FF2B5EF4-FFF2-40B4-BE49-F238E27FC236}">
                  <a16:creationId xmlns:a16="http://schemas.microsoft.com/office/drawing/2014/main" id="{A5B46058-8F10-C763-D408-BEB27F97B25B}"/>
                </a:ext>
              </a:extLst>
            </xdr:cNvPr>
            <xdr:cNvSpPr/>
          </xdr:nvSpPr>
          <xdr:spPr>
            <a:xfrm>
              <a:off x="335280" y="2451303"/>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grpSp>
      <xdr:grpSp>
        <xdr:nvGrpSpPr>
          <xdr:cNvPr id="9" name="グループ化 9">
            <a:extLst>
              <a:ext uri="{FF2B5EF4-FFF2-40B4-BE49-F238E27FC236}">
                <a16:creationId xmlns:a16="http://schemas.microsoft.com/office/drawing/2014/main" id="{46F918A0-680E-9D0C-B791-314C0DB5601C}"/>
              </a:ext>
            </a:extLst>
          </xdr:cNvPr>
          <xdr:cNvGrpSpPr/>
        </xdr:nvGrpSpPr>
        <xdr:grpSpPr>
          <a:xfrm>
            <a:off x="761626" y="1598610"/>
            <a:ext cx="216000" cy="1068693"/>
            <a:chOff x="335280" y="1598610"/>
            <a:chExt cx="216000" cy="1068693"/>
          </a:xfrm>
          <a:grpFill/>
        </xdr:grpSpPr>
        <xdr:sp macro="" textlink="">
          <xdr:nvSpPr>
            <xdr:cNvPr id="22" name="正方形/長方形 22">
              <a:extLst>
                <a:ext uri="{FF2B5EF4-FFF2-40B4-BE49-F238E27FC236}">
                  <a16:creationId xmlns:a16="http://schemas.microsoft.com/office/drawing/2014/main" id="{DE146B74-657C-9C69-B322-14F6A188CEE9}"/>
                </a:ext>
              </a:extLst>
            </xdr:cNvPr>
            <xdr:cNvSpPr/>
          </xdr:nvSpPr>
          <xdr:spPr>
            <a:xfrm>
              <a:off x="335280" y="159861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3" name="正方形/長方形 23">
              <a:extLst>
                <a:ext uri="{FF2B5EF4-FFF2-40B4-BE49-F238E27FC236}">
                  <a16:creationId xmlns:a16="http://schemas.microsoft.com/office/drawing/2014/main" id="{249A38CD-2531-13BA-B003-87AB3694CDD1}"/>
                </a:ext>
              </a:extLst>
            </xdr:cNvPr>
            <xdr:cNvSpPr/>
          </xdr:nvSpPr>
          <xdr:spPr>
            <a:xfrm>
              <a:off x="335280" y="1811784"/>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4" name="正方形/長方形 24">
              <a:extLst>
                <a:ext uri="{FF2B5EF4-FFF2-40B4-BE49-F238E27FC236}">
                  <a16:creationId xmlns:a16="http://schemas.microsoft.com/office/drawing/2014/main" id="{FE24E764-5DD9-5CE3-9585-964BE8B1DECC}"/>
                </a:ext>
              </a:extLst>
            </xdr:cNvPr>
            <xdr:cNvSpPr/>
          </xdr:nvSpPr>
          <xdr:spPr>
            <a:xfrm>
              <a:off x="335280" y="2024957"/>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5" name="正方形/長方形 25">
              <a:extLst>
                <a:ext uri="{FF2B5EF4-FFF2-40B4-BE49-F238E27FC236}">
                  <a16:creationId xmlns:a16="http://schemas.microsoft.com/office/drawing/2014/main" id="{C87F1717-7120-3335-A463-9DAFB6CC4979}"/>
                </a:ext>
              </a:extLst>
            </xdr:cNvPr>
            <xdr:cNvSpPr/>
          </xdr:nvSpPr>
          <xdr:spPr>
            <a:xfrm>
              <a:off x="335280" y="223813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6" name="正方形/長方形 26">
              <a:extLst>
                <a:ext uri="{FF2B5EF4-FFF2-40B4-BE49-F238E27FC236}">
                  <a16:creationId xmlns:a16="http://schemas.microsoft.com/office/drawing/2014/main" id="{5F88CA10-3B17-F299-04A3-E47422944F82}"/>
                </a:ext>
              </a:extLst>
            </xdr:cNvPr>
            <xdr:cNvSpPr/>
          </xdr:nvSpPr>
          <xdr:spPr>
            <a:xfrm>
              <a:off x="335280" y="2451303"/>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grpSp>
      <xdr:grpSp>
        <xdr:nvGrpSpPr>
          <xdr:cNvPr id="10" name="グループ化 10">
            <a:extLst>
              <a:ext uri="{FF2B5EF4-FFF2-40B4-BE49-F238E27FC236}">
                <a16:creationId xmlns:a16="http://schemas.microsoft.com/office/drawing/2014/main" id="{9CB2DDF5-4EED-A32E-0E34-788529D4B334}"/>
              </a:ext>
            </a:extLst>
          </xdr:cNvPr>
          <xdr:cNvGrpSpPr/>
        </xdr:nvGrpSpPr>
        <xdr:grpSpPr>
          <a:xfrm>
            <a:off x="974800" y="1598610"/>
            <a:ext cx="216000" cy="1068693"/>
            <a:chOff x="335280" y="1598610"/>
            <a:chExt cx="216000" cy="1068693"/>
          </a:xfrm>
          <a:grpFill/>
        </xdr:grpSpPr>
        <xdr:sp macro="" textlink="">
          <xdr:nvSpPr>
            <xdr:cNvPr id="17" name="正方形/長方形 17">
              <a:extLst>
                <a:ext uri="{FF2B5EF4-FFF2-40B4-BE49-F238E27FC236}">
                  <a16:creationId xmlns:a16="http://schemas.microsoft.com/office/drawing/2014/main" id="{6E4116DE-05EA-5830-ACD3-5BD424FFC340}"/>
                </a:ext>
              </a:extLst>
            </xdr:cNvPr>
            <xdr:cNvSpPr/>
          </xdr:nvSpPr>
          <xdr:spPr>
            <a:xfrm>
              <a:off x="335280" y="159861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8" name="正方形/長方形 18">
              <a:extLst>
                <a:ext uri="{FF2B5EF4-FFF2-40B4-BE49-F238E27FC236}">
                  <a16:creationId xmlns:a16="http://schemas.microsoft.com/office/drawing/2014/main" id="{FFF01F4D-2C75-67DB-92EC-640EB1C013FE}"/>
                </a:ext>
              </a:extLst>
            </xdr:cNvPr>
            <xdr:cNvSpPr/>
          </xdr:nvSpPr>
          <xdr:spPr>
            <a:xfrm>
              <a:off x="335280" y="1811784"/>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9" name="正方形/長方形 19">
              <a:extLst>
                <a:ext uri="{FF2B5EF4-FFF2-40B4-BE49-F238E27FC236}">
                  <a16:creationId xmlns:a16="http://schemas.microsoft.com/office/drawing/2014/main" id="{3297FB64-B00C-B65D-7D25-26C85B1F49DB}"/>
                </a:ext>
              </a:extLst>
            </xdr:cNvPr>
            <xdr:cNvSpPr/>
          </xdr:nvSpPr>
          <xdr:spPr>
            <a:xfrm>
              <a:off x="335280" y="2024957"/>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0" name="正方形/長方形 20">
              <a:extLst>
                <a:ext uri="{FF2B5EF4-FFF2-40B4-BE49-F238E27FC236}">
                  <a16:creationId xmlns:a16="http://schemas.microsoft.com/office/drawing/2014/main" id="{BC512D42-71EE-5170-CDDC-F673F7C12E28}"/>
                </a:ext>
              </a:extLst>
            </xdr:cNvPr>
            <xdr:cNvSpPr/>
          </xdr:nvSpPr>
          <xdr:spPr>
            <a:xfrm>
              <a:off x="335280" y="223813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21" name="正方形/長方形 21">
              <a:extLst>
                <a:ext uri="{FF2B5EF4-FFF2-40B4-BE49-F238E27FC236}">
                  <a16:creationId xmlns:a16="http://schemas.microsoft.com/office/drawing/2014/main" id="{73A95826-1397-119D-B842-45AA27C6F620}"/>
                </a:ext>
              </a:extLst>
            </xdr:cNvPr>
            <xdr:cNvSpPr/>
          </xdr:nvSpPr>
          <xdr:spPr>
            <a:xfrm>
              <a:off x="335280" y="2451303"/>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grpSp>
      <xdr:grpSp>
        <xdr:nvGrpSpPr>
          <xdr:cNvPr id="11" name="グループ化 11">
            <a:extLst>
              <a:ext uri="{FF2B5EF4-FFF2-40B4-BE49-F238E27FC236}">
                <a16:creationId xmlns:a16="http://schemas.microsoft.com/office/drawing/2014/main" id="{14D4EE38-EE69-B913-5F4F-A2308A156640}"/>
              </a:ext>
            </a:extLst>
          </xdr:cNvPr>
          <xdr:cNvGrpSpPr/>
        </xdr:nvGrpSpPr>
        <xdr:grpSpPr>
          <a:xfrm>
            <a:off x="1187974" y="1598610"/>
            <a:ext cx="216000" cy="1068693"/>
            <a:chOff x="335280" y="1598610"/>
            <a:chExt cx="216000" cy="1068693"/>
          </a:xfrm>
          <a:grpFill/>
        </xdr:grpSpPr>
        <xdr:sp macro="" textlink="">
          <xdr:nvSpPr>
            <xdr:cNvPr id="12" name="正方形/長方形 12">
              <a:extLst>
                <a:ext uri="{FF2B5EF4-FFF2-40B4-BE49-F238E27FC236}">
                  <a16:creationId xmlns:a16="http://schemas.microsoft.com/office/drawing/2014/main" id="{084CBA90-8279-C577-B6E4-1E3EF6709843}"/>
                </a:ext>
              </a:extLst>
            </xdr:cNvPr>
            <xdr:cNvSpPr/>
          </xdr:nvSpPr>
          <xdr:spPr>
            <a:xfrm>
              <a:off x="335280" y="159861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3" name="正方形/長方形 13">
              <a:extLst>
                <a:ext uri="{FF2B5EF4-FFF2-40B4-BE49-F238E27FC236}">
                  <a16:creationId xmlns:a16="http://schemas.microsoft.com/office/drawing/2014/main" id="{DFEFA117-8696-568B-96E2-EE434719CBFA}"/>
                </a:ext>
              </a:extLst>
            </xdr:cNvPr>
            <xdr:cNvSpPr/>
          </xdr:nvSpPr>
          <xdr:spPr>
            <a:xfrm>
              <a:off x="335280" y="1811784"/>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4" name="正方形/長方形 14">
              <a:extLst>
                <a:ext uri="{FF2B5EF4-FFF2-40B4-BE49-F238E27FC236}">
                  <a16:creationId xmlns:a16="http://schemas.microsoft.com/office/drawing/2014/main" id="{47E7DEB4-B32E-5E36-CB3B-C16EE16BB5D1}"/>
                </a:ext>
              </a:extLst>
            </xdr:cNvPr>
            <xdr:cNvSpPr/>
          </xdr:nvSpPr>
          <xdr:spPr>
            <a:xfrm>
              <a:off x="335280" y="2024957"/>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5" name="正方形/長方形 15">
              <a:extLst>
                <a:ext uri="{FF2B5EF4-FFF2-40B4-BE49-F238E27FC236}">
                  <a16:creationId xmlns:a16="http://schemas.microsoft.com/office/drawing/2014/main" id="{D71D09FA-FF09-6B98-8D77-F630278B1E7E}"/>
                </a:ext>
              </a:extLst>
            </xdr:cNvPr>
            <xdr:cNvSpPr/>
          </xdr:nvSpPr>
          <xdr:spPr>
            <a:xfrm>
              <a:off x="335280" y="2238130"/>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sp macro="" textlink="">
          <xdr:nvSpPr>
            <xdr:cNvPr id="16" name="正方形/長方形 16">
              <a:extLst>
                <a:ext uri="{FF2B5EF4-FFF2-40B4-BE49-F238E27FC236}">
                  <a16:creationId xmlns:a16="http://schemas.microsoft.com/office/drawing/2014/main" id="{F75BFCD0-B89A-46EA-1609-18BF5196B926}"/>
                </a:ext>
              </a:extLst>
            </xdr:cNvPr>
            <xdr:cNvSpPr/>
          </xdr:nvSpPr>
          <xdr:spPr>
            <a:xfrm>
              <a:off x="335280" y="2451303"/>
              <a:ext cx="216000" cy="216000"/>
            </a:xfrm>
            <a:prstGeom prst="rect">
              <a:avLst/>
            </a:prstGeom>
            <a:grp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grp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ue\Downloads\PCC\Panasonic%20-%20Inductor%20-%20Selection%20Tool%20-%20Feb2026%20-%20Kopie\PCC_unlocked.xlsm" TargetMode="External"/><Relationship Id="rId1" Type="http://schemas.openxmlformats.org/officeDocument/2006/relationships/externalLinkPath" Target="/Users/samue/Downloads/PCC/Panasonic%20-%20Inductor%20-%20Selection%20Tool%20-%20Feb2026%20-%20Kopie/PCC_unlock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utomotive"/>
      <sheetName val="PN-&gt;Parameter"/>
      <sheetName val="DCDC Ref"/>
      <sheetName val="Non Auto"/>
      <sheetName val="Disclaimer"/>
      <sheetName val="All Data"/>
      <sheetName val="Utility"/>
      <sheetName val="計算sheet"/>
      <sheetName val="Wav"/>
    </sheetNames>
    <sheetDataSet>
      <sheetData sheetId="0"/>
      <sheetData sheetId="1"/>
      <sheetData sheetId="2">
        <row r="21">
          <cell r="J21">
            <v>12</v>
          </cell>
          <cell r="W21" t="str">
            <v>(Select here)</v>
          </cell>
        </row>
        <row r="22">
          <cell r="J22">
            <v>5</v>
          </cell>
        </row>
        <row r="24">
          <cell r="J24">
            <v>10</v>
          </cell>
        </row>
        <row r="25">
          <cell r="J25">
            <v>2000</v>
          </cell>
        </row>
        <row r="26">
          <cell r="J26">
            <v>1</v>
          </cell>
        </row>
        <row r="27">
          <cell r="J27">
            <v>30</v>
          </cell>
        </row>
        <row r="28">
          <cell r="J28">
            <v>11.153846153846155</v>
          </cell>
        </row>
        <row r="29">
          <cell r="J29">
            <v>100</v>
          </cell>
        </row>
        <row r="30">
          <cell r="J30">
            <v>0.63194444444444442</v>
          </cell>
        </row>
      </sheetData>
      <sheetData sheetId="3"/>
      <sheetData sheetId="4"/>
      <sheetData sheetId="5"/>
      <sheetData sheetId="6">
        <row r="4">
          <cell r="O4" t="str">
            <v>App</v>
          </cell>
          <cell r="P4" t="str">
            <v>App Img (Offline)</v>
          </cell>
          <cell r="X4" t="str">
            <v>Din Img (Offline)</v>
          </cell>
        </row>
        <row r="5">
          <cell r="D5">
            <v>0.01</v>
          </cell>
          <cell r="E5" t="str">
            <v>≤    0.1</v>
          </cell>
          <cell r="O5" t="str">
            <v>(Select here)</v>
          </cell>
        </row>
        <row r="6">
          <cell r="D6">
            <v>0.11</v>
          </cell>
          <cell r="E6" t="str">
            <v>≤    0.2</v>
          </cell>
          <cell r="O6" t="str">
            <v>ADAS(High power)</v>
          </cell>
        </row>
        <row r="7">
          <cell r="D7">
            <v>0.21</v>
          </cell>
          <cell r="E7" t="str">
            <v>≤    0.3</v>
          </cell>
          <cell r="O7" t="str">
            <v>ADAS(Low power)</v>
          </cell>
        </row>
        <row r="8">
          <cell r="D8">
            <v>0.31</v>
          </cell>
          <cell r="E8" t="str">
            <v>≤    0.4</v>
          </cell>
          <cell r="O8" t="str">
            <v>Infotainment</v>
          </cell>
        </row>
        <row r="9">
          <cell r="D9">
            <v>0.41</v>
          </cell>
          <cell r="E9" t="str">
            <v>≤    0.5</v>
          </cell>
          <cell r="O9" t="str">
            <v>Primary DCDC</v>
          </cell>
        </row>
        <row r="10">
          <cell r="D10">
            <v>0.51</v>
          </cell>
          <cell r="E10" t="str">
            <v>≤    0.6</v>
          </cell>
          <cell r="O10" t="str">
            <v>USB PD</v>
          </cell>
        </row>
        <row r="11">
          <cell r="D11">
            <v>0.61</v>
          </cell>
          <cell r="E11" t="str">
            <v>≤    0.7</v>
          </cell>
          <cell r="O11" t="str">
            <v>LED</v>
          </cell>
        </row>
        <row r="12">
          <cell r="D12">
            <v>0.71</v>
          </cell>
          <cell r="E12" t="str">
            <v>≤    0.8</v>
          </cell>
        </row>
        <row r="13">
          <cell r="D13">
            <v>0.81</v>
          </cell>
          <cell r="E13" t="str">
            <v>≤    0.9</v>
          </cell>
        </row>
        <row r="14">
          <cell r="D14">
            <v>0.91</v>
          </cell>
          <cell r="E14" t="str">
            <v>≤   1</v>
          </cell>
        </row>
        <row r="15">
          <cell r="D15">
            <v>1.0900000000000001</v>
          </cell>
          <cell r="E15" t="str">
            <v>≤   2</v>
          </cell>
        </row>
        <row r="16">
          <cell r="D16">
            <v>2.09</v>
          </cell>
          <cell r="E16" t="str">
            <v>≤   3</v>
          </cell>
        </row>
        <row r="17">
          <cell r="D17">
            <v>3.09</v>
          </cell>
          <cell r="E17" t="str">
            <v>≤   4</v>
          </cell>
        </row>
        <row r="18">
          <cell r="D18">
            <v>4.09</v>
          </cell>
          <cell r="E18" t="str">
            <v>≤   5</v>
          </cell>
        </row>
        <row r="19">
          <cell r="D19">
            <v>5.09</v>
          </cell>
          <cell r="E19" t="str">
            <v>≤   6</v>
          </cell>
        </row>
        <row r="20">
          <cell r="D20">
            <v>6.09</v>
          </cell>
          <cell r="E20" t="str">
            <v>≤   7</v>
          </cell>
        </row>
        <row r="21">
          <cell r="D21">
            <v>7.09</v>
          </cell>
          <cell r="E21" t="str">
            <v>≤   8</v>
          </cell>
        </row>
        <row r="22">
          <cell r="D22">
            <v>8.09</v>
          </cell>
          <cell r="E22" t="str">
            <v>≤   9</v>
          </cell>
        </row>
        <row r="23">
          <cell r="D23">
            <v>9.09</v>
          </cell>
          <cell r="E23" t="str">
            <v>≤  10</v>
          </cell>
        </row>
        <row r="24">
          <cell r="D24">
            <v>10.9</v>
          </cell>
          <cell r="E24" t="str">
            <v>≤  20</v>
          </cell>
        </row>
        <row r="25">
          <cell r="D25">
            <v>20.9</v>
          </cell>
          <cell r="E25" t="str">
            <v>≤  30</v>
          </cell>
        </row>
        <row r="26">
          <cell r="D26">
            <v>30.9</v>
          </cell>
          <cell r="E26" t="str">
            <v>≤  40</v>
          </cell>
        </row>
        <row r="27">
          <cell r="D27">
            <v>40.9</v>
          </cell>
          <cell r="E27" t="str">
            <v>≤  50</v>
          </cell>
        </row>
        <row r="28">
          <cell r="D28">
            <v>50.9</v>
          </cell>
          <cell r="E28" t="str">
            <v>≤  60</v>
          </cell>
        </row>
        <row r="29">
          <cell r="D29">
            <v>60.9</v>
          </cell>
          <cell r="E29" t="str">
            <v>≤  70</v>
          </cell>
        </row>
        <row r="30">
          <cell r="D30">
            <v>70.900000000000006</v>
          </cell>
          <cell r="E30" t="str">
            <v>≤  80</v>
          </cell>
        </row>
        <row r="31">
          <cell r="D31">
            <v>80.900000000000006</v>
          </cell>
          <cell r="E31" t="str">
            <v>≤  90</v>
          </cell>
        </row>
        <row r="32">
          <cell r="D32">
            <v>90.9</v>
          </cell>
          <cell r="E32" t="str">
            <v>≤ 100</v>
          </cell>
        </row>
        <row r="33">
          <cell r="D33">
            <v>109</v>
          </cell>
          <cell r="E33" t="str">
            <v>≤ 200</v>
          </cell>
        </row>
        <row r="34">
          <cell r="D34">
            <v>209</v>
          </cell>
          <cell r="E34" t="str">
            <v>≤ 300</v>
          </cell>
        </row>
        <row r="35">
          <cell r="D35">
            <v>309</v>
          </cell>
          <cell r="E35" t="str">
            <v>≤ 400</v>
          </cell>
        </row>
        <row r="36">
          <cell r="D36">
            <v>409</v>
          </cell>
          <cell r="E36" t="str">
            <v>≤ 500</v>
          </cell>
        </row>
        <row r="37">
          <cell r="D37">
            <v>509</v>
          </cell>
          <cell r="E37" t="str">
            <v>≤ 600</v>
          </cell>
        </row>
        <row r="38">
          <cell r="D38">
            <v>609</v>
          </cell>
          <cell r="E38" t="str">
            <v>≤ 700</v>
          </cell>
        </row>
        <row r="39">
          <cell r="D39">
            <v>709</v>
          </cell>
          <cell r="E39" t="str">
            <v>≤ 800</v>
          </cell>
        </row>
        <row r="40">
          <cell r="D40">
            <v>809</v>
          </cell>
          <cell r="E40" t="str">
            <v>≤ 900</v>
          </cell>
        </row>
        <row r="41">
          <cell r="D41">
            <v>909</v>
          </cell>
          <cell r="E41" t="str">
            <v>≤1000</v>
          </cell>
        </row>
        <row r="42">
          <cell r="D42">
            <v>1090</v>
          </cell>
          <cell r="E42" t="str">
            <v>≤2000</v>
          </cell>
        </row>
        <row r="43">
          <cell r="D43">
            <v>2090</v>
          </cell>
          <cell r="E43" t="str">
            <v>≤3000</v>
          </cell>
        </row>
      </sheetData>
      <sheetData sheetId="7"/>
      <sheetData sheetId="8"/>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DEBD6-EDE6-4231-837B-BEB03A50FBB6}" name="All_PCC_a" displayName="All_PCC_a" ref="A10:AW160" totalsRowShown="0" headerRowDxfId="50" dataDxfId="49">
  <autoFilter ref="A10:AW160" xr:uid="{00000000-0009-0000-0100-000001000000}"/>
  <tableColumns count="49">
    <tableColumn id="33" xr3:uid="{E0980E18-FABD-47EE-8CCD-41A01E464C84}" name="Original Order" dataDxfId="48"/>
    <tableColumn id="18" xr3:uid="{B704096A-5F04-410C-A274-B2C0BBF68FEE}" name="カタログ品" dataDxfId="47"/>
    <tableColumn id="20" xr3:uid="{AEF0CDB5-4668-4C6D-8AED-AECD42E4A8AC}" name="確認メモ" dataDxfId="46"/>
    <tableColumn id="69" xr3:uid="{51630C53-8848-4B23-BA6E-34E42BC624B9}" name="Check" dataDxfId="45"/>
    <tableColumn id="68" xr3:uid="{462D87A7-F8AF-41FD-959B-587E019790B7}" name="Renewal Date" dataDxfId="44"/>
    <tableColumn id="1" xr3:uid="{0D53E6D8-6C22-4725-87DE-7E7E62E1A965}" name="Status" dataDxfId="43"/>
    <tableColumn id="5" xr3:uid="{109D6CCC-31B8-44AE-9C31-F93B05EE8033}" name="Maker" dataDxfId="42" dataCellStyle="標準 8 2 2"/>
    <tableColumn id="2" xr3:uid="{920B9895-F0CF-4B4A-BB6D-C0416E573EE9}" name="Type" dataDxfId="41" dataCellStyle="標準 8 2 2"/>
    <tableColumn id="3" xr3:uid="{C9FA0E51-265F-462C-AC07-1B0636876863}" name="Core" dataDxfId="40" dataCellStyle="標準 8 2 2"/>
    <tableColumn id="4" xr3:uid="{7060A49C-82F7-4CA0-B785-C2E737D49C85}" name="Category" dataDxfId="39" dataCellStyle="標準 8 2 2"/>
    <tableColumn id="6" xr3:uid="{D3E5CD5A-FF44-4B1D-8ECD-3021E4AAC246}" name="Feature" dataDxfId="38" dataCellStyle="標準 8 2 2"/>
    <tableColumn id="16" xr3:uid="{1EBBAD64-3BA7-4FD7-A7BE-0351FC2E5D39}" name="Series" dataDxfId="37"/>
    <tableColumn id="7" xr3:uid="{4B1DE5F0-D2B6-47AE-94D2-547E896AFD2D}" name="Series (Size)" dataDxfId="36"/>
    <tableColumn id="8" xr3:uid="{014255AB-B6E9-4E20-B1B7-A92853D45582}" name="Automotive Grade" dataDxfId="35"/>
    <tableColumn id="9" xr3:uid="{840E7279-206E-4B10-9686-4012FE5BC793}" name="Part Number" dataDxfId="34" dataCellStyle="標準 5 3"/>
    <tableColumn id="64" xr3:uid="{78BFB96B-F89C-4A36-A919-A2E870622F3F}" name="仮1" dataDxfId="33" dataCellStyle="標準 5 3">
      <calculatedColumnFormula>MID(All_PCC_a[[#This Row],[Part Number]],7,3)</calculatedColumnFormula>
    </tableColumn>
    <tableColumn id="10" xr3:uid="{3E6D40A9-7ADA-4CCB-9B7A-4C0714738039}" name="Lo (uH)" dataDxfId="32"/>
    <tableColumn id="58" xr3:uid="{1BAEE805-3036-46C5-AFD2-E7FFF1CF0979}" name="Lo RangeXX" dataDxfId="31">
      <calculatedColumnFormula>IF(All_PCC_a[[#This Row],[Lo (uH)]]&lt;1,"&lt;1",IF(All_PCC_a[[#This Row],[Lo (uH)]]&lt;10,"&lt;10",IF(All_PCC_a[[#This Row],[Lo (uH)]]&lt;100,"&lt;100",IF(All_PCC_a[[#This Row],[Lo (uH)]]&lt;2000,"&lt;2000",""))))</calculatedColumnFormula>
    </tableColumn>
    <tableColumn id="65" xr3:uid="{F609557E-FDD5-4254-998C-9BE4571F49DA}" name="Lo Range (uH)" dataDxfId="30">
      <calculatedColumnFormula>IFERROR(VLOOKUP(All_PCC_a[[#This Row],[Lo (uH)]],[1]Utility!$D$5:$E$43,2,1),"-")</calculatedColumnFormula>
    </tableColumn>
    <tableColumn id="11" xr3:uid="{C8C2D2F7-4960-48AD-9F4A-A86FBC48A926}" name="Lo Tol. (%)" dataDxfId="29"/>
    <tableColumn id="21" xr3:uid="{BDE08FAA-440C-4BD5-A514-7F5EFAB3E961}" name="DCR Typ (mOhm)" dataDxfId="28"/>
    <tableColumn id="22" xr3:uid="{D07A387E-3BDA-4447-8246-E559CC7FE89A}" name="DCR Max (mOhm)" dataDxfId="27" dataCellStyle="標準 8 2 2"/>
    <tableColumn id="67" xr3:uid="{81C9F9A8-C9CD-4A07-BF0E-2A312E279379}" name="DCR Tol. (%)" dataDxfId="26"/>
    <tableColumn id="42" xr3:uid="{3B348A07-6E83-493F-BD86-9500BD1DC52B}" name="Method B (A typ at 40℃)" dataDxfId="25"/>
    <tableColumn id="15" xr3:uid="{57D9FFE9-6305-4461-A6F7-FA6E31CB6411}" name="Method A (A typ at 40℃)" dataDxfId="24"/>
    <tableColumn id="19" xr3:uid="{5CE31F3F-2C0D-4F20-8727-18AB0C6D03E8}" name="⊿L=-30% _x000a_typ (A)" dataDxfId="23"/>
    <tableColumn id="17" xr3:uid="{0F7F0A2B-D2DA-4260-BD8A-2629FC3F934E}" name="⊿L=-20% _x000a_typ (A)" dataDxfId="22"/>
    <tableColumn id="26" xr3:uid="{162BB2BC-4639-47E7-84BA-C3671A20CDD6}" name="L (mm)" dataDxfId="21"/>
    <tableColumn id="34" xr3:uid="{1BB6E75F-C3F0-41FA-868A-D184F6887A9D}" name="W (mm)" dataDxfId="20" dataCellStyle="標準 8 2 2"/>
    <tableColumn id="24" xr3:uid="{83115654-C93D-42D8-B781-1BDB62063D4C}" name="Max Height (mm)" dataDxfId="19"/>
    <tableColumn id="35" xr3:uid="{72E87668-4136-438E-8FE0-BB884974938A}" name="Area (mm2)" dataDxfId="18" dataCellStyle="標準 8 2 2">
      <calculatedColumnFormula>ROUND(All_PCC_a[[#This Row],[L (mm)]]*All_PCC_a[[#This Row],[W (mm)]],1)</calculatedColumnFormula>
    </tableColumn>
    <tableColumn id="23" xr3:uid="{608D68F7-5276-44DF-98EF-E897EC7A61A9}" name="Size (mm)" dataDxfId="17">
      <calculatedColumnFormula>All_PCC_a[[#This Row],[L (mm)]]&amp;"  x  "&amp;All_PCC_a[[#This Row],[W (mm)]]</calculatedColumnFormula>
    </tableColumn>
    <tableColumn id="55" xr3:uid="{3576A988-531F-4EA7-B8A5-7A6556B5574A}" name="Rough Size (mm)" dataDxfId="16" dataCellStyle="標準 9 3"/>
    <tableColumn id="61" xr3:uid="{30DBF869-886B-4970-9C30-8B412D55B2E6}" name="Max Height Range (mm)" dataDxfId="15">
      <calculatedColumnFormula>IF(All_PCC_a[[#This Row],[Max Height (mm)]]&lt;=9,"≤ "&amp;ROUNDUP(AD11,0),"≤"&amp;ROUNDUP(AD11,0))</calculatedColumnFormula>
    </tableColumn>
    <tableColumn id="60" xr3:uid="{809E730B-74DD-42A2-862C-357D016A47B9}" name="Min Temp (deg.C)" dataDxfId="14"/>
    <tableColumn id="63" xr3:uid="{06B117E1-8398-4103-A963-B9A16236D0E1}" name="Max Temp (deg.C)" dataDxfId="13"/>
    <tableColumn id="25" xr3:uid="{6271F0C0-AA74-4322-A0E6-AB1DFE73E885}" name="Temp Range (deg.C)" dataDxfId="12" dataCellStyle="標準 8 2 2">
      <calculatedColumnFormula>All_PCC_a[[#This Row],[Min Temp (deg.C)]]&amp;" to +"&amp;All_PCC_a[[#This Row],[Max Temp (deg.C)]]</calculatedColumnFormula>
    </tableColumn>
    <tableColumn id="36" xr3:uid="{7488D280-7B0F-4BE4-A0E2-DE94D876963F}" name="Max Voltage (V)" dataDxfId="11" dataCellStyle="標準 8 2 2"/>
    <tableColumn id="70" xr3:uid="{3E85E3B8-3545-4F8B-8E1D-7D4304039950}" name="Vibration" dataDxfId="10"/>
    <tableColumn id="27" xr3:uid="{2B3637E7-8C7D-4E6A-AD69-C8F60DE9AB7B}" name="MPQ" dataDxfId="9"/>
    <tableColumn id="12" xr3:uid="{4EE10341-BCDE-4FFF-B0F5-17B129C7DB45}" name="L1 (uH)" dataDxfId="8" dataCellStyle="標準 8 2 2"/>
    <tableColumn id="59" xr3:uid="{0DFA0711-A9E8-4BDB-8DB3-47AD57E87A78}" name="Rough L1 (uH)" dataDxfId="7">
      <calculatedColumnFormula>IFERROR(IF(L1Round&gt;1,ROUND(L1Round,1),L1Round),"-")</calculatedColumnFormula>
    </tableColumn>
    <tableColumn id="13" xr3:uid="{A89039CF-A33C-4E19-BC86-BAA4BE226B86}" name="L1 Tol. (%)" dataDxfId="6" dataCellStyle="標準 8 2 2"/>
    <tableColumn id="14" xr3:uid="{C5223547-6A6B-4824-BA17-1CDD1A22F1D1}" name="Ir (A)" dataDxfId="5" dataCellStyle="標準 8 2 2"/>
    <tableColumn id="28" xr3:uid="{784D99C5-0283-4788-A12E-F22EDA4E0251}" name="URL" dataDxfId="4"/>
    <tableColumn id="29" xr3:uid="{9E02B21B-B026-40FE-8FD3-63A625A69017}" name="Image URL" dataDxfId="3"/>
    <tableColumn id="30" xr3:uid="{AD94BA19-B8D0-4941-85EE-5A445C69966A}" name="add3" dataDxfId="2">
      <calculatedColumnFormula>_xlfn.IMAGE(All_PCC_a[[#This Row],[Image URL]])</calculatedColumnFormula>
    </tableColumn>
    <tableColumn id="31" xr3:uid="{B26C5C3A-8A28-45DF-AED1-D8245A22591E}" name="add4" dataDxfId="1"/>
    <tableColumn id="32" xr3:uid="{98FF5284-CF3C-400F-8DCC-56871D0BC91F}" name="add5"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clip" horzOverflow="clip" wrap="square" lIns="36000" tIns="36000" rIns="36000" bIns="36000" rtlCol="0" anchor="t"/>
      <a:lstStyle>
        <a:defPPr>
          <a:defRPr kumimoji="1"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ustrial.panasonic.com/ww/products/pt/inductors-for-consumer/models/ETQP4LR42AFM" TargetMode="External"/><Relationship Id="rId13" Type="http://schemas.openxmlformats.org/officeDocument/2006/relationships/hyperlink" Target="https://industrial.panasonic.com/ww/products/pt/inductors-for-consumer/models/ETQP3LR24CFM" TargetMode="External"/><Relationship Id="rId18" Type="http://schemas.openxmlformats.org/officeDocument/2006/relationships/table" Target="../tables/table1.xml"/><Relationship Id="rId3" Type="http://schemas.openxmlformats.org/officeDocument/2006/relationships/hyperlink" Target="https://industrial.panasonic.com/ww/products/pt/inductors-for-consumer/models/ETQP4LR15AFM" TargetMode="External"/><Relationship Id="rId7" Type="http://schemas.openxmlformats.org/officeDocument/2006/relationships/hyperlink" Target="https://industrial.panasonic.com/ww/products/pt/inductors-for-consumer/models/ETQP4LR45XFC" TargetMode="External"/><Relationship Id="rId12" Type="http://schemas.openxmlformats.org/officeDocument/2006/relationships/hyperlink" Target="https://industrial.panasonic.com/ww/products/pt/inductors-for-consumer/models/ETQP4LR24AFM" TargetMode="External"/><Relationship Id="rId17" Type="http://schemas.openxmlformats.org/officeDocument/2006/relationships/vmlDrawing" Target="../drawings/vmlDrawing1.vml"/><Relationship Id="rId2" Type="http://schemas.openxmlformats.org/officeDocument/2006/relationships/hyperlink" Target="https://industrial.panasonic.com/ww/products/pt/inductors-for-consumer/models/ETQP4LR15AFC" TargetMode="External"/><Relationship Id="rId16" Type="http://schemas.openxmlformats.org/officeDocument/2006/relationships/drawing" Target="../drawings/drawing1.xml"/><Relationship Id="rId1" Type="http://schemas.openxmlformats.org/officeDocument/2006/relationships/hyperlink" Target="https://industrial.panasonic.com/content/data/CC/pictures/lineup-Metal-core.gif" TargetMode="External"/><Relationship Id="rId6" Type="http://schemas.openxmlformats.org/officeDocument/2006/relationships/hyperlink" Target="https://industrial.panasonic.com/ww/products/pt/inductors-for-consumer/models/ETQP4LR56WFC" TargetMode="External"/><Relationship Id="rId11" Type="http://schemas.openxmlformats.org/officeDocument/2006/relationships/hyperlink" Target="https://industrial.panasonic.com/ww/products/pt/inductors-for-consumer/models/ETQP4LR36AFM" TargetMode="External"/><Relationship Id="rId5" Type="http://schemas.openxmlformats.org/officeDocument/2006/relationships/hyperlink" Target="https://industrial.panasonic.com/ww/products/pt/inductors-for-consumer/models/ETQP4LR68XFC" TargetMode="External"/><Relationship Id="rId15" Type="http://schemas.openxmlformats.org/officeDocument/2006/relationships/printerSettings" Target="../printerSettings/printerSettings1.bin"/><Relationship Id="rId10" Type="http://schemas.openxmlformats.org/officeDocument/2006/relationships/hyperlink" Target="https://industrial.panasonic.com/ww/products/pt/inductors-for-consumer/models/ETQP4LR36AFC" TargetMode="External"/><Relationship Id="rId19" Type="http://schemas.openxmlformats.org/officeDocument/2006/relationships/comments" Target="../comments1.xml"/><Relationship Id="rId4" Type="http://schemas.openxmlformats.org/officeDocument/2006/relationships/hyperlink" Target="https://industrial.panasonic.com/ww/products/pt/inductors-for-consumer/models/ETQP3LR15CFM" TargetMode="External"/><Relationship Id="rId9" Type="http://schemas.openxmlformats.org/officeDocument/2006/relationships/hyperlink" Target="https://industrial.panasonic.com/ww/products/pt/inductors-for-consumer/models/ETQP4LR36WFC" TargetMode="External"/><Relationship Id="rId14" Type="http://schemas.openxmlformats.org/officeDocument/2006/relationships/hyperlink" Target="https://industrial.panasonic.com/ww/products/pt/inductors-for-consumer/models/ETQP4LR19WF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1E2C-47BB-4914-AACC-29C876EC6669}">
  <sheetPr codeName="Sheet6"/>
  <dimension ref="A1:CC187"/>
  <sheetViews>
    <sheetView tabSelected="1" zoomScale="76" zoomScaleNormal="52" workbookViewId="0">
      <selection activeCell="A161" sqref="A161"/>
    </sheetView>
  </sheetViews>
  <sheetFormatPr defaultColWidth="9" defaultRowHeight="14.25" outlineLevelCol="1"/>
  <cols>
    <col min="1" max="2" width="9" style="1" outlineLevel="1"/>
    <col min="3" max="3" width="12.7109375" style="1" bestFit="1" customWidth="1" outlineLevel="1"/>
    <col min="4" max="4" width="9" style="1"/>
    <col min="5" max="5" width="9.28515625" style="1" customWidth="1"/>
    <col min="6" max="6" width="7.7109375" style="1" customWidth="1"/>
    <col min="7" max="7" width="5.7109375" style="1" customWidth="1" outlineLevel="1"/>
    <col min="8" max="8" width="6.5703125" style="1" customWidth="1" outlineLevel="1"/>
    <col min="9" max="9" width="8.85546875" style="2" customWidth="1" outlineLevel="1"/>
    <col min="10" max="10" width="6.28515625" style="1" customWidth="1" outlineLevel="1"/>
    <col min="11" max="11" width="16.85546875" customWidth="1" outlineLevel="1"/>
    <col min="12" max="12" width="12.140625" customWidth="1" outlineLevel="1"/>
    <col min="13" max="13" width="18.140625" style="1" customWidth="1" outlineLevel="1"/>
    <col min="14" max="14" width="8.7109375" style="1" customWidth="1"/>
    <col min="15" max="15" width="19.42578125" style="1" customWidth="1"/>
    <col min="16" max="16" width="11" style="2" customWidth="1"/>
    <col min="17" max="17" width="9" style="2" customWidth="1"/>
    <col min="18" max="18" width="12.85546875" style="1" customWidth="1"/>
    <col min="19" max="19" width="14.7109375" style="1" customWidth="1"/>
    <col min="20" max="20" width="11.7109375" style="1" customWidth="1"/>
    <col min="21" max="21" width="13.5703125" customWidth="1"/>
    <col min="22" max="22" width="15.7109375" customWidth="1"/>
    <col min="23" max="23" width="17.28515625" style="1" customWidth="1"/>
    <col min="24" max="24" width="14.7109375" customWidth="1"/>
    <col min="25" max="25" width="14.140625" customWidth="1"/>
    <col min="27" max="27" width="13.5703125" customWidth="1"/>
    <col min="29" max="29" width="8.28515625" style="1" customWidth="1"/>
    <col min="30" max="30" width="11.7109375" customWidth="1"/>
    <col min="31" max="31" width="7.42578125" style="1" customWidth="1"/>
    <col min="32" max="32" width="11.28515625" customWidth="1"/>
    <col min="33" max="33" width="11" customWidth="1"/>
    <col min="34" max="34" width="10.28515625" customWidth="1"/>
    <col min="37" max="37" width="17.5703125" style="112" customWidth="1"/>
    <col min="39" max="39" width="15.5703125" style="1" customWidth="1"/>
    <col min="40" max="40" width="16.5703125" style="1" customWidth="1"/>
    <col min="41" max="41" width="14.42578125" style="1" customWidth="1"/>
    <col min="44" max="45" width="12.7109375" style="1" customWidth="1"/>
    <col min="46" max="46" width="17.42578125" style="1" customWidth="1"/>
    <col min="47" max="47" width="4.7109375" style="1" customWidth="1"/>
    <col min="48" max="48" width="4.7109375" style="1" customWidth="1" outlineLevel="1"/>
    <col min="49" max="49" width="4.7109375" customWidth="1"/>
    <col min="50" max="50" width="2.7109375" style="1" customWidth="1"/>
    <col min="51" max="51" width="2.7109375" customWidth="1"/>
    <col min="52" max="54" width="2.7109375" style="1" customWidth="1"/>
    <col min="55" max="56" width="12.42578125" style="1" customWidth="1"/>
    <col min="57" max="58" width="9" style="1" customWidth="1"/>
    <col min="59" max="67" width="8.28515625" style="1" customWidth="1"/>
    <col min="68" max="68" width="10.5703125" style="1" customWidth="1"/>
    <col min="69" max="69" width="14.7109375" style="1" bestFit="1" customWidth="1"/>
    <col min="70" max="71" width="8.5703125" style="1" customWidth="1"/>
    <col min="72" max="72" width="21.140625" style="1" customWidth="1"/>
    <col min="73" max="73" width="14.7109375" style="1" customWidth="1"/>
    <col min="74" max="75" width="8.5703125" style="1" customWidth="1"/>
    <col min="76" max="78" width="9" style="1"/>
    <col min="79" max="79" width="6.7109375" style="1" bestFit="1" customWidth="1"/>
    <col min="80" max="80" width="2.42578125" style="1" customWidth="1"/>
    <col min="81" max="16384" width="9" style="1"/>
  </cols>
  <sheetData>
    <row r="1" spans="1:81" ht="15.75">
      <c r="K1" s="1"/>
      <c r="L1" s="1"/>
      <c r="O1" s="2"/>
      <c r="Q1" s="1"/>
      <c r="U1" s="1"/>
      <c r="V1" s="1"/>
      <c r="X1" s="1"/>
      <c r="Y1" s="1"/>
      <c r="Z1" s="1"/>
      <c r="AA1" s="1"/>
      <c r="AB1" s="1"/>
      <c r="AD1" s="1"/>
      <c r="AF1" s="1"/>
      <c r="AG1" s="1"/>
      <c r="AH1" s="1"/>
      <c r="AI1" s="1"/>
      <c r="AJ1" s="1"/>
      <c r="AK1" s="1"/>
      <c r="AL1" s="1"/>
      <c r="AP1" s="1"/>
      <c r="AQ1" s="1"/>
      <c r="AR1" s="3"/>
      <c r="AS1" s="4" t="s">
        <v>0</v>
      </c>
      <c r="AW1" s="1"/>
      <c r="AY1" s="1"/>
      <c r="BQ1" s="5"/>
      <c r="BR1" s="5"/>
      <c r="BZ1" s="6" t="s">
        <v>1</v>
      </c>
      <c r="CA1" s="7">
        <f>'[1]DCDC Ref'!J21</f>
        <v>12</v>
      </c>
      <c r="CB1" s="8"/>
      <c r="CC1" s="9" t="s">
        <v>2</v>
      </c>
    </row>
    <row r="2" spans="1:81" ht="15.75">
      <c r="K2" s="3"/>
      <c r="L2" s="3"/>
      <c r="M2" s="3"/>
      <c r="O2" s="2"/>
      <c r="Q2" s="1"/>
      <c r="U2" s="1"/>
      <c r="V2" s="1"/>
      <c r="W2" s="3"/>
      <c r="X2" s="1"/>
      <c r="Y2" s="1"/>
      <c r="Z2" s="1"/>
      <c r="AA2" s="1"/>
      <c r="AB2" s="3"/>
      <c r="AC2" s="3"/>
      <c r="AD2" s="1"/>
      <c r="AE2" s="3"/>
      <c r="AF2" s="1"/>
      <c r="AG2" s="1"/>
      <c r="AH2" s="1"/>
      <c r="AI2" s="1"/>
      <c r="AJ2" s="1"/>
      <c r="AK2" s="1"/>
      <c r="AL2" s="3"/>
      <c r="AM2" s="3"/>
      <c r="AP2" s="1"/>
      <c r="AQ2" s="1"/>
      <c r="AS2" s="1" t="s">
        <v>3</v>
      </c>
      <c r="AW2" s="1"/>
      <c r="AY2" s="1"/>
      <c r="BQ2" s="5"/>
      <c r="BR2" s="5"/>
      <c r="BZ2" s="9" t="s">
        <v>4</v>
      </c>
      <c r="CA2" s="7">
        <f>'[1]DCDC Ref'!J22</f>
        <v>5</v>
      </c>
      <c r="CB2" s="8"/>
      <c r="CC2" s="9" t="s">
        <v>2</v>
      </c>
    </row>
    <row r="3" spans="1:81" ht="15">
      <c r="K3" s="10"/>
      <c r="L3" s="10"/>
      <c r="M3" s="11"/>
      <c r="O3" s="2"/>
      <c r="Q3" s="1"/>
      <c r="T3" s="3"/>
      <c r="U3" s="3"/>
      <c r="V3" s="1"/>
      <c r="W3" s="3"/>
      <c r="X3" s="1"/>
      <c r="Y3" s="1"/>
      <c r="Z3" s="3"/>
      <c r="AA3" s="3"/>
      <c r="AB3" s="3"/>
      <c r="AC3" s="3"/>
      <c r="AD3" s="1"/>
      <c r="AE3" s="3"/>
      <c r="AF3" s="1"/>
      <c r="AG3" s="1"/>
      <c r="AH3" s="1"/>
      <c r="AI3" s="1"/>
      <c r="AJ3" s="1"/>
      <c r="AK3" s="1"/>
      <c r="AL3" s="3"/>
      <c r="AM3" s="3"/>
      <c r="AP3" s="1"/>
      <c r="AQ3" s="1"/>
      <c r="AR3" s="3"/>
      <c r="AS3" s="4"/>
      <c r="AW3" s="1"/>
      <c r="AY3" s="1"/>
      <c r="BC3" s="1" t="s">
        <v>5</v>
      </c>
      <c r="BQ3" s="5"/>
      <c r="BR3" s="5"/>
      <c r="BZ3" s="9" t="s">
        <v>6</v>
      </c>
      <c r="CA3" s="12" t="str">
        <f>IF(CA1=CA2,"",IF(CA1&gt;CA2,"Buck","Boost"))</f>
        <v>Buck</v>
      </c>
      <c r="CB3" s="12"/>
      <c r="CC3" s="9"/>
    </row>
    <row r="4" spans="1:81" ht="15">
      <c r="K4" s="1"/>
      <c r="L4" s="1"/>
      <c r="O4" s="2"/>
      <c r="Q4" s="1"/>
      <c r="U4" s="1"/>
      <c r="V4" s="1"/>
      <c r="X4" s="1"/>
      <c r="Y4" s="1"/>
      <c r="Z4" s="1"/>
      <c r="AA4" s="1"/>
      <c r="AB4" s="1"/>
      <c r="AD4" s="1"/>
      <c r="AF4" s="3"/>
      <c r="AG4" s="1"/>
      <c r="AH4" s="1"/>
      <c r="AI4" s="1"/>
      <c r="AJ4" s="1"/>
      <c r="AK4" s="1"/>
      <c r="AL4" s="1"/>
      <c r="AP4" s="1"/>
      <c r="AQ4" s="1"/>
      <c r="AW4" s="1"/>
      <c r="AY4" s="1"/>
      <c r="BC4" s="11" t="s">
        <v>7</v>
      </c>
      <c r="BD4" s="13"/>
      <c r="BQ4" s="5"/>
      <c r="BR4" s="5"/>
      <c r="BZ4" s="9" t="s">
        <v>8</v>
      </c>
      <c r="CA4" s="7">
        <f>'[1]DCDC Ref'!J24</f>
        <v>10</v>
      </c>
      <c r="CB4" s="14"/>
      <c r="CC4" s="9" t="s">
        <v>9</v>
      </c>
    </row>
    <row r="5" spans="1:81" ht="15.75">
      <c r="K5" s="1"/>
      <c r="L5" s="1"/>
      <c r="O5" s="2"/>
      <c r="Q5" s="1"/>
      <c r="U5" s="1"/>
      <c r="V5" s="1"/>
      <c r="X5" s="1"/>
      <c r="Y5" s="1"/>
      <c r="Z5" s="1"/>
      <c r="AA5" s="11"/>
      <c r="AB5" s="1"/>
      <c r="AD5" s="1"/>
      <c r="AF5" s="1"/>
      <c r="AG5" s="1"/>
      <c r="AH5" s="1"/>
      <c r="AI5" s="1"/>
      <c r="AJ5" s="1"/>
      <c r="AK5" s="1"/>
      <c r="AL5" s="1"/>
      <c r="AP5" s="1"/>
      <c r="AQ5" s="1"/>
      <c r="AW5" s="1"/>
      <c r="AY5" s="1"/>
      <c r="BC5" s="1" t="s">
        <v>10</v>
      </c>
      <c r="BQ5" s="5"/>
      <c r="BR5" s="5"/>
      <c r="BZ5" s="9" t="s">
        <v>11</v>
      </c>
      <c r="CA5" s="7">
        <f>'[1]DCDC Ref'!J25</f>
        <v>2000</v>
      </c>
      <c r="CB5" s="8"/>
      <c r="CC5" s="9" t="s">
        <v>12</v>
      </c>
    </row>
    <row r="6" spans="1:81" ht="15.75">
      <c r="K6" s="1"/>
      <c r="L6" s="1"/>
      <c r="O6" s="2"/>
      <c r="Q6" s="1"/>
      <c r="U6" s="1"/>
      <c r="V6" s="1"/>
      <c r="X6" s="1"/>
      <c r="Y6" s="1"/>
      <c r="Z6" s="1"/>
      <c r="AA6" s="1"/>
      <c r="AB6" s="1"/>
      <c r="AD6" s="1"/>
      <c r="AF6" s="1"/>
      <c r="AG6" s="1"/>
      <c r="AH6" s="1"/>
      <c r="AI6" s="1"/>
      <c r="AJ6" s="1"/>
      <c r="AK6" s="1"/>
      <c r="AL6" s="1"/>
      <c r="AP6" s="1"/>
      <c r="AQ6" s="1"/>
      <c r="AW6" s="1"/>
      <c r="AY6" s="1"/>
      <c r="BC6" s="11" t="s">
        <v>13</v>
      </c>
      <c r="BO6" s="1" t="s">
        <v>14</v>
      </c>
      <c r="BP6" s="1">
        <v>5000</v>
      </c>
      <c r="BQ6" s="5"/>
      <c r="BR6" s="5"/>
      <c r="BZ6" s="9" t="s">
        <v>15</v>
      </c>
      <c r="CA6" s="7">
        <f>'[1]DCDC Ref'!J26</f>
        <v>1</v>
      </c>
      <c r="CB6" s="8"/>
      <c r="CC6" s="9" t="s">
        <v>16</v>
      </c>
    </row>
    <row r="7" spans="1:81" ht="16.5" thickBot="1">
      <c r="B7" s="15"/>
      <c r="K7" s="1"/>
      <c r="L7" s="1"/>
      <c r="O7" s="2"/>
      <c r="Q7" s="16"/>
      <c r="U7" s="16"/>
      <c r="V7" s="16"/>
      <c r="W7" s="16"/>
      <c r="X7" s="16"/>
      <c r="Y7" s="16"/>
      <c r="Z7" s="16"/>
      <c r="AA7" s="1"/>
      <c r="AB7" s="1"/>
      <c r="AD7" s="1"/>
      <c r="AG7" s="1"/>
      <c r="AI7" s="1"/>
      <c r="AJ7" s="1"/>
      <c r="AK7"/>
      <c r="AL7" s="1"/>
      <c r="AM7" s="11"/>
      <c r="AP7" s="1"/>
      <c r="AQ7" s="1"/>
      <c r="AW7" s="1"/>
      <c r="AY7" s="1"/>
      <c r="BD7" s="1" t="s">
        <v>17</v>
      </c>
      <c r="BG7" s="1" t="s">
        <v>18</v>
      </c>
      <c r="BJ7" s="1" t="s">
        <v>17</v>
      </c>
      <c r="BO7" s="1" t="s">
        <v>19</v>
      </c>
      <c r="BP7" s="1">
        <v>5</v>
      </c>
      <c r="BQ7" s="5"/>
      <c r="BR7" s="5"/>
      <c r="BZ7" s="9" t="s">
        <v>20</v>
      </c>
      <c r="CA7" s="7">
        <f>'[1]DCDC Ref'!J27</f>
        <v>30</v>
      </c>
      <c r="CB7" s="8"/>
      <c r="CC7" s="9" t="s">
        <v>21</v>
      </c>
    </row>
    <row r="8" spans="1:81" ht="15.75">
      <c r="B8" s="17" t="s">
        <v>22</v>
      </c>
      <c r="K8" s="1"/>
      <c r="L8" s="1"/>
      <c r="O8" s="18"/>
      <c r="P8" s="19"/>
      <c r="Q8" s="20"/>
      <c r="R8" s="21"/>
      <c r="S8" s="21"/>
      <c r="T8" s="22"/>
      <c r="U8" s="23" t="s">
        <v>23</v>
      </c>
      <c r="V8" s="21"/>
      <c r="W8" s="22"/>
      <c r="X8" s="21" t="s">
        <v>24</v>
      </c>
      <c r="Y8" s="23" t="s">
        <v>25</v>
      </c>
      <c r="Z8" s="23" t="s">
        <v>26</v>
      </c>
      <c r="AA8" s="21" t="s">
        <v>27</v>
      </c>
      <c r="AB8" s="24" t="s">
        <v>28</v>
      </c>
      <c r="AC8" s="24"/>
      <c r="AD8" s="21"/>
      <c r="AE8" s="24"/>
      <c r="AF8" s="21"/>
      <c r="AG8" s="25" t="s">
        <v>29</v>
      </c>
      <c r="AH8" s="21"/>
      <c r="AI8" s="21"/>
      <c r="AJ8" s="25"/>
      <c r="AK8" s="21"/>
      <c r="AL8" s="24"/>
      <c r="AM8" s="24" t="s">
        <v>30</v>
      </c>
      <c r="AO8" s="26" t="s">
        <v>31</v>
      </c>
      <c r="AP8" s="21"/>
      <c r="AQ8" s="21"/>
      <c r="AR8" s="22"/>
      <c r="AS8" s="3"/>
      <c r="AW8" s="1"/>
      <c r="AY8" s="1"/>
      <c r="BC8" s="27" t="s">
        <v>32</v>
      </c>
      <c r="BD8" s="1" t="s">
        <v>33</v>
      </c>
      <c r="BG8" s="1" t="s">
        <v>34</v>
      </c>
      <c r="BJ8" s="1" t="s">
        <v>35</v>
      </c>
      <c r="BQ8" s="5"/>
      <c r="BR8" s="5"/>
      <c r="BZ8" s="9" t="s">
        <v>33</v>
      </c>
      <c r="CA8" s="8">
        <f>'[1]DCDC Ref'!J30</f>
        <v>0.63194444444444442</v>
      </c>
      <c r="CB8" s="8"/>
      <c r="CC8" s="9" t="s">
        <v>36</v>
      </c>
    </row>
    <row r="9" spans="1:81" ht="15.75" thickBot="1">
      <c r="A9" s="28"/>
      <c r="B9" s="28" t="s">
        <v>37</v>
      </c>
      <c r="K9" s="1"/>
      <c r="L9" s="1"/>
      <c r="N9" s="29"/>
      <c r="O9" s="30" t="s">
        <v>38</v>
      </c>
      <c r="P9" s="19"/>
      <c r="Q9" s="31" t="s">
        <v>39</v>
      </c>
      <c r="R9" s="32"/>
      <c r="S9" s="32"/>
      <c r="T9" s="33" t="s">
        <v>40</v>
      </c>
      <c r="U9" s="34" t="s">
        <v>41</v>
      </c>
      <c r="V9" s="35" t="s">
        <v>42</v>
      </c>
      <c r="W9" s="36" t="s">
        <v>43</v>
      </c>
      <c r="X9" s="2" t="s">
        <v>44</v>
      </c>
      <c r="Y9" s="34" t="s">
        <v>45</v>
      </c>
      <c r="Z9" s="34" t="s">
        <v>46</v>
      </c>
      <c r="AA9" s="29" t="s">
        <v>46</v>
      </c>
      <c r="AB9" s="3"/>
      <c r="AC9" s="3"/>
      <c r="AD9" s="32"/>
      <c r="AE9" s="3"/>
      <c r="AF9" s="32"/>
      <c r="AG9" s="32"/>
      <c r="AH9" s="32"/>
      <c r="AI9" s="32"/>
      <c r="AJ9" s="32"/>
      <c r="AK9" s="32"/>
      <c r="AL9" s="3"/>
      <c r="AM9" s="3"/>
      <c r="AO9" s="32" t="s">
        <v>39</v>
      </c>
      <c r="AP9" s="32"/>
      <c r="AQ9" s="32" t="s">
        <v>40</v>
      </c>
      <c r="AR9" s="37" t="s">
        <v>47</v>
      </c>
      <c r="AW9" s="1"/>
      <c r="AY9" s="1"/>
      <c r="BB9" s="28"/>
      <c r="BC9" s="28" t="s">
        <v>37</v>
      </c>
      <c r="BD9" s="1" t="s">
        <v>48</v>
      </c>
      <c r="BG9" s="1" t="s">
        <v>49</v>
      </c>
      <c r="BJ9" s="1" t="s">
        <v>50</v>
      </c>
      <c r="BQ9" s="38"/>
      <c r="BR9" s="5"/>
    </row>
    <row r="10" spans="1:81" s="7" customFormat="1" ht="36">
      <c r="A10" s="39" t="s">
        <v>51</v>
      </c>
      <c r="B10" s="39" t="s">
        <v>52</v>
      </c>
      <c r="C10" s="40" t="s">
        <v>53</v>
      </c>
      <c r="D10" s="39" t="s">
        <v>54</v>
      </c>
      <c r="E10" s="41" t="s">
        <v>55</v>
      </c>
      <c r="F10" s="41" t="s">
        <v>56</v>
      </c>
      <c r="G10" s="41" t="s">
        <v>57</v>
      </c>
      <c r="H10" s="41" t="s">
        <v>58</v>
      </c>
      <c r="I10" s="42" t="s">
        <v>59</v>
      </c>
      <c r="J10" s="41" t="s">
        <v>60</v>
      </c>
      <c r="K10" s="41" t="s">
        <v>61</v>
      </c>
      <c r="L10" s="41" t="s">
        <v>62</v>
      </c>
      <c r="M10" s="41" t="s">
        <v>63</v>
      </c>
      <c r="N10" s="43" t="s">
        <v>64</v>
      </c>
      <c r="O10" s="44" t="s">
        <v>65</v>
      </c>
      <c r="P10" s="45" t="s">
        <v>66</v>
      </c>
      <c r="Q10" s="46" t="s">
        <v>67</v>
      </c>
      <c r="R10" s="47" t="s">
        <v>68</v>
      </c>
      <c r="S10" s="46" t="s">
        <v>69</v>
      </c>
      <c r="T10" s="44" t="s">
        <v>70</v>
      </c>
      <c r="U10" s="44" t="s">
        <v>71</v>
      </c>
      <c r="V10" s="48" t="s">
        <v>72</v>
      </c>
      <c r="W10" s="48" t="s">
        <v>73</v>
      </c>
      <c r="X10" s="46" t="s">
        <v>74</v>
      </c>
      <c r="Y10" s="46" t="s">
        <v>75</v>
      </c>
      <c r="Z10" s="49" t="s">
        <v>76</v>
      </c>
      <c r="AA10" s="50" t="s">
        <v>77</v>
      </c>
      <c r="AB10" s="51" t="s">
        <v>78</v>
      </c>
      <c r="AC10" s="51" t="s">
        <v>79</v>
      </c>
      <c r="AD10" s="52" t="s">
        <v>80</v>
      </c>
      <c r="AE10" s="51" t="s">
        <v>81</v>
      </c>
      <c r="AF10" s="44" t="s">
        <v>82</v>
      </c>
      <c r="AG10" s="44" t="s">
        <v>83</v>
      </c>
      <c r="AH10" s="53" t="s">
        <v>84</v>
      </c>
      <c r="AI10" s="52" t="s">
        <v>85</v>
      </c>
      <c r="AJ10" s="52" t="s">
        <v>86</v>
      </c>
      <c r="AK10" s="44" t="s">
        <v>87</v>
      </c>
      <c r="AL10" s="51" t="s">
        <v>88</v>
      </c>
      <c r="AM10" s="51" t="s">
        <v>30</v>
      </c>
      <c r="AN10" s="54" t="s">
        <v>89</v>
      </c>
      <c r="AO10" s="46" t="s">
        <v>90</v>
      </c>
      <c r="AP10" s="46" t="s">
        <v>91</v>
      </c>
      <c r="AQ10" s="44" t="s">
        <v>92</v>
      </c>
      <c r="AR10" s="44" t="s">
        <v>93</v>
      </c>
      <c r="AS10" s="54" t="s">
        <v>94</v>
      </c>
      <c r="AT10" s="54" t="s">
        <v>95</v>
      </c>
      <c r="AU10" s="54" t="s">
        <v>96</v>
      </c>
      <c r="AV10" s="54" t="s">
        <v>97</v>
      </c>
      <c r="AW10" s="54" t="s">
        <v>98</v>
      </c>
      <c r="BC10" s="28" t="s">
        <v>99</v>
      </c>
      <c r="BD10" s="28" t="s">
        <v>100</v>
      </c>
      <c r="BE10" s="28" t="s">
        <v>101</v>
      </c>
      <c r="BF10" s="28"/>
      <c r="BG10" s="28" t="s">
        <v>102</v>
      </c>
      <c r="BH10" s="28" t="s">
        <v>103</v>
      </c>
      <c r="BI10" s="28"/>
      <c r="BJ10" s="28" t="s">
        <v>102</v>
      </c>
      <c r="BK10" s="28" t="s">
        <v>103</v>
      </c>
      <c r="BL10" s="28"/>
      <c r="BM10" s="28"/>
      <c r="BN10" s="28"/>
      <c r="BO10" s="28"/>
      <c r="BP10" s="28"/>
      <c r="BQ10" s="55" t="s">
        <v>104</v>
      </c>
      <c r="BR10" s="56" t="s">
        <v>105</v>
      </c>
      <c r="BS10" s="57" t="s">
        <v>106</v>
      </c>
      <c r="BT10" s="1" t="s">
        <v>107</v>
      </c>
      <c r="BU10" s="1" t="s">
        <v>108</v>
      </c>
      <c r="BV10" s="1"/>
      <c r="BW10" s="1"/>
      <c r="BX10" s="1"/>
      <c r="BY10" s="1"/>
    </row>
    <row r="11" spans="1:81" ht="15">
      <c r="A11" s="1">
        <v>37</v>
      </c>
      <c r="B11" s="28" t="s">
        <v>109</v>
      </c>
      <c r="D11" s="1" t="s">
        <v>110</v>
      </c>
      <c r="E11" s="58"/>
      <c r="F11" s="1" t="s">
        <v>111</v>
      </c>
      <c r="G11" s="2" t="s">
        <v>112</v>
      </c>
      <c r="H11" s="1" t="s">
        <v>113</v>
      </c>
      <c r="I11" s="2" t="s">
        <v>114</v>
      </c>
      <c r="J11" s="1" t="s">
        <v>115</v>
      </c>
      <c r="K11" s="1" t="s">
        <v>116</v>
      </c>
      <c r="L11" s="1" t="s">
        <v>117</v>
      </c>
      <c r="M11" s="1" t="s">
        <v>118</v>
      </c>
      <c r="N11" s="1" t="s">
        <v>119</v>
      </c>
      <c r="O11" s="59" t="s">
        <v>120</v>
      </c>
      <c r="P11" s="60" t="str">
        <f>MID(All_PCC_a[[#This Row],[Part Number]],7,3)</f>
        <v>R33</v>
      </c>
      <c r="Q11" s="61">
        <v>0.33</v>
      </c>
      <c r="R11" s="61" t="str">
        <f>IF(All_PCC_a[[#This Row],[Lo (uH)]]&lt;1,"&lt;1",IF(All_PCC_a[[#This Row],[Lo (uH)]]&lt;10,"&lt;10",IF(All_PCC_a[[#This Row],[Lo (uH)]]&lt;100,"&lt;100",IF(All_PCC_a[[#This Row],[Lo (uH)]]&lt;2000,"&lt;2000",""))))</f>
        <v>&lt;1</v>
      </c>
      <c r="S11" s="61" t="str">
        <f>IFERROR(VLOOKUP(All_PCC_a[[#This Row],[Lo (uH)]],[1]Utility!$D$5:$E$43,2,1),"-")</f>
        <v>≤    0.4</v>
      </c>
      <c r="T11" s="62">
        <v>0.2</v>
      </c>
      <c r="U11" s="63">
        <v>1.1000000000000001</v>
      </c>
      <c r="V11" s="63">
        <v>1.21</v>
      </c>
      <c r="W11" s="61">
        <v>10</v>
      </c>
      <c r="X11" s="61">
        <v>39.700000000000003</v>
      </c>
      <c r="Y11" s="61">
        <v>33.200000000000003</v>
      </c>
      <c r="Z11" s="64">
        <v>56.7</v>
      </c>
      <c r="AA11" s="61">
        <v>42.63</v>
      </c>
      <c r="AB11" s="1">
        <v>10.9</v>
      </c>
      <c r="AC11" s="1">
        <v>10</v>
      </c>
      <c r="AD11" s="61">
        <v>5</v>
      </c>
      <c r="AE11" s="1">
        <f>ROUND(All_PCC_a[[#This Row],[L (mm)]]*All_PCC_a[[#This Row],[W (mm)]],1)</f>
        <v>109</v>
      </c>
      <c r="AF11" s="61" t="str">
        <f>All_PCC_a[[#This Row],[L (mm)]]&amp;"  x  "&amp;All_PCC_a[[#This Row],[W (mm)]]</f>
        <v>10,9  x  10</v>
      </c>
      <c r="AG11" s="65" t="s">
        <v>121</v>
      </c>
      <c r="AH11" s="61" t="str">
        <f>IF(All_PCC_a[[#This Row],[Max Height (mm)]]&lt;=9,"≤ "&amp;ROUNDUP(AD11,0),"≤"&amp;ROUNDUP(AD11,0))</f>
        <v>≤ 5</v>
      </c>
      <c r="AI11" s="1">
        <v>-40</v>
      </c>
      <c r="AJ11" s="1">
        <v>150</v>
      </c>
      <c r="AK11" s="1" t="str">
        <f>All_PCC_a[[#This Row],[Min Temp (deg.C)]]&amp;" to +"&amp;All_PCC_a[[#This Row],[Max Temp (deg.C)]]</f>
        <v>-40 to +150</v>
      </c>
      <c r="AL11" s="1"/>
      <c r="AO11" s="61" t="s">
        <v>122</v>
      </c>
      <c r="AP11" s="61" t="str">
        <f>IFERROR(IF(L1Round&gt;1,ROUND(L1Round,1),L1Round),"-")</f>
        <v>-</v>
      </c>
      <c r="AQ11" s="61" t="s">
        <v>122</v>
      </c>
      <c r="AR11" s="61" t="s">
        <v>122</v>
      </c>
      <c r="AS11" s="1" t="s">
        <v>123</v>
      </c>
      <c r="AT11" s="1" t="s">
        <v>124</v>
      </c>
      <c r="AU11" s="1" t="e" vm="1">
        <f ca="1">_xlfn.IMAGE(All_PCC_a[[#This Row],[Image URL]])</f>
        <v>#NAME?</v>
      </c>
      <c r="AW11" s="1"/>
      <c r="AY11" s="1"/>
      <c r="AZ11" s="1" t="str">
        <f>IF(AY11=1,COUNTIF($AY$11:AY11,1),"")</f>
        <v/>
      </c>
      <c r="BC11" s="1">
        <f>IF(Z11&lt;('[1]DCDC Ref'!$J$24/'[1]DCDC Ref'!$J$26)*'[1]DCDC Ref'!$J$28/100,0,1)</f>
        <v>1</v>
      </c>
      <c r="BD11" s="66">
        <f>IF(BC11=1000000000,"",('All Data'!Q11-'[1]DCDC Ref'!$J$30)/'[1]DCDC Ref'!$J$30*100)</f>
        <v>-47.780219780219774</v>
      </c>
      <c r="BE11" s="67">
        <f>ABS(BD11)</f>
        <v>47.780219780219774</v>
      </c>
      <c r="BF11" s="67"/>
      <c r="BG11" s="66"/>
      <c r="BH11" s="68">
        <f t="shared" ref="BH11:BH74" si="0">IF(BG11&lt;0,10000,BG11)</f>
        <v>0</v>
      </c>
      <c r="BI11" s="67"/>
      <c r="BJ11" s="1">
        <f>IF(BC11=0,"",('All Data'!Z11-'[1]DCDC Ref'!$J$28*('[1]DCDC Ref'!$J$29/100))/'[1]DCDC Ref'!$J$28*('[1]DCDC Ref'!$J$29/100)*100)</f>
        <v>408.34482758620692</v>
      </c>
      <c r="BK11" s="68">
        <f t="shared" ref="BK11:BK74" si="1">IF(BJ11&lt;0,10000,BJ11)</f>
        <v>408.34482758620692</v>
      </c>
      <c r="BL11" s="68"/>
      <c r="BM11" s="68"/>
      <c r="BN11" s="68"/>
      <c r="BO11" s="68"/>
      <c r="BQ11" s="5">
        <f>IFERROR(BE11*$BP$6+BK11*$BP$7,"")</f>
        <v>240942.8230390299</v>
      </c>
      <c r="BR11" s="5">
        <f>IF(BQ11="","",RANK(BQ11,BQ$11:BQ$9930,1)+COUNTIF(BQ$11:BQ11,BQ11)-1)</f>
        <v>16</v>
      </c>
      <c r="BS11" s="69">
        <f t="shared" ref="BS11:BS74" si="2">RANK(BR11,BR$11:BR$9930,1)</f>
        <v>16</v>
      </c>
      <c r="BT11" s="1" t="str">
        <f>IFERROR(INDEX($O$11:$O$1013,MATCH(ROWS($BS$11:BS11),$BS$11:$BS$1005,0)),"")</f>
        <v>ETQP3MR68KVP</v>
      </c>
      <c r="BU11" s="69" t="str">
        <f>IF(BT11&lt;&gt;"",BT11,"")</f>
        <v>ETQP3MR68KVP</v>
      </c>
    </row>
    <row r="12" spans="1:81" ht="15">
      <c r="A12" s="1">
        <v>45</v>
      </c>
      <c r="B12" s="28" t="s">
        <v>109</v>
      </c>
      <c r="C12" s="1" t="s">
        <v>125</v>
      </c>
      <c r="D12" s="1" t="s">
        <v>110</v>
      </c>
      <c r="E12" s="58"/>
      <c r="F12" s="1" t="s">
        <v>111</v>
      </c>
      <c r="G12" s="2" t="s">
        <v>112</v>
      </c>
      <c r="H12" s="1" t="s">
        <v>113</v>
      </c>
      <c r="I12" s="2" t="s">
        <v>114</v>
      </c>
      <c r="J12" s="1" t="s">
        <v>115</v>
      </c>
      <c r="K12" s="1" t="s">
        <v>126</v>
      </c>
      <c r="L12" s="1" t="s">
        <v>127</v>
      </c>
      <c r="M12" s="1" t="s">
        <v>128</v>
      </c>
      <c r="N12" s="1" t="s">
        <v>119</v>
      </c>
      <c r="O12" s="59" t="s">
        <v>129</v>
      </c>
      <c r="P12" s="60" t="str">
        <f>MID(All_PCC_a[[#This Row],[Part Number]],7,3)</f>
        <v>R33</v>
      </c>
      <c r="Q12" s="61">
        <v>0.33</v>
      </c>
      <c r="R12" s="61" t="str">
        <f>IF(All_PCC_a[[#This Row],[Lo (uH)]]&lt;1,"&lt;1",IF(All_PCC_a[[#This Row],[Lo (uH)]]&lt;10,"&lt;10",IF(All_PCC_a[[#This Row],[Lo (uH)]]&lt;100,"&lt;100",IF(All_PCC_a[[#This Row],[Lo (uH)]]&lt;2000,"&lt;2000",""))))</f>
        <v>&lt;1</v>
      </c>
      <c r="S12" s="61" t="str">
        <f>IFERROR(VLOOKUP(All_PCC_a[[#This Row],[Lo (uH)]],[1]Utility!$D$5:$E$43,2,1),"-")</f>
        <v>≤    0.4</v>
      </c>
      <c r="T12" s="62">
        <v>0.2</v>
      </c>
      <c r="U12" s="63">
        <v>0.7</v>
      </c>
      <c r="V12" s="63">
        <v>0.77</v>
      </c>
      <c r="W12" s="61">
        <v>10</v>
      </c>
      <c r="X12" s="61">
        <v>53.5</v>
      </c>
      <c r="Y12" s="61">
        <v>44.4</v>
      </c>
      <c r="Z12" s="64">
        <v>84.5</v>
      </c>
      <c r="AA12" s="61">
        <f>ROUND(55.8461538461538,2)</f>
        <v>55.85</v>
      </c>
      <c r="AB12" s="1">
        <v>12.6</v>
      </c>
      <c r="AC12" s="1">
        <v>13.2</v>
      </c>
      <c r="AD12" s="61">
        <v>8</v>
      </c>
      <c r="AE12" s="1">
        <f>ROUND(All_PCC_a[[#This Row],[L (mm)]]*All_PCC_a[[#This Row],[W (mm)]],1)</f>
        <v>166.3</v>
      </c>
      <c r="AF12" s="61" t="str">
        <f>All_PCC_a[[#This Row],[L (mm)]]&amp;"  x  "&amp;All_PCC_a[[#This Row],[W (mm)]]</f>
        <v>12,6  x  13,2</v>
      </c>
      <c r="AG12" s="65" t="s">
        <v>130</v>
      </c>
      <c r="AH12" s="61" t="str">
        <f>IF(All_PCC_a[[#This Row],[Max Height (mm)]]&lt;=9,"≤ "&amp;ROUNDUP(AD12,0),"≤"&amp;ROUNDUP(AD12,0))</f>
        <v>≤ 8</v>
      </c>
      <c r="AI12" s="1">
        <v>-40</v>
      </c>
      <c r="AJ12" s="1">
        <v>160</v>
      </c>
      <c r="AK12" s="1" t="str">
        <f>All_PCC_a[[#This Row],[Min Temp (deg.C)]]&amp;" to +"&amp;All_PCC_a[[#This Row],[Max Temp (deg.C)]]</f>
        <v>-40 to +160</v>
      </c>
      <c r="AL12" s="1"/>
      <c r="AN12" s="1" t="s">
        <v>131</v>
      </c>
      <c r="AO12" s="61" t="s">
        <v>122</v>
      </c>
      <c r="AP12" s="61" t="str">
        <f>IFERROR(IF(L1Round&gt;1,ROUND(L1Round,1),L1Round),"-")</f>
        <v>-</v>
      </c>
      <c r="AQ12" s="61" t="s">
        <v>122</v>
      </c>
      <c r="AR12" s="61" t="s">
        <v>122</v>
      </c>
      <c r="AS12" s="1" t="s">
        <v>132</v>
      </c>
      <c r="AT12" s="1" t="s">
        <v>133</v>
      </c>
      <c r="AU12" s="1" t="e" vm="1">
        <f ca="1">_xlfn.IMAGE(All_PCC_a[[#This Row],[Image URL]])</f>
        <v>#NAME?</v>
      </c>
      <c r="AW12" s="1"/>
      <c r="AY12" s="1"/>
      <c r="AZ12" s="1" t="str">
        <f>IF(AY12=1,COUNTIF($AY$11:AY12,1),"")</f>
        <v/>
      </c>
      <c r="BC12" s="1">
        <f>IF(Z12&lt;('[1]DCDC Ref'!$J$24/'[1]DCDC Ref'!$J$26)*'[1]DCDC Ref'!$J$28/100,0,1)</f>
        <v>1</v>
      </c>
      <c r="BD12" s="66">
        <f>IF(BC12=1000000000,"",('All Data'!Q12-'[1]DCDC Ref'!$J$30)/'[1]DCDC Ref'!$J$30*100)</f>
        <v>-47.780219780219774</v>
      </c>
      <c r="BE12" s="67">
        <f t="shared" ref="BE12:BE75" si="3">ABS(BD12)</f>
        <v>47.780219780219774</v>
      </c>
      <c r="BF12" s="67"/>
      <c r="BG12" s="66"/>
      <c r="BH12" s="68">
        <f t="shared" si="0"/>
        <v>0</v>
      </c>
      <c r="BI12" s="67"/>
      <c r="BJ12" s="1">
        <f>IF(BC12=0,"",('All Data'!Z12-'[1]DCDC Ref'!$J$28*('[1]DCDC Ref'!$J$29/100))/'[1]DCDC Ref'!$J$28*('[1]DCDC Ref'!$J$29/100)*100)</f>
        <v>657.58620689655163</v>
      </c>
      <c r="BK12" s="68">
        <f t="shared" si="1"/>
        <v>657.58620689655163</v>
      </c>
      <c r="BL12" s="68"/>
      <c r="BM12" s="68"/>
      <c r="BN12" s="68"/>
      <c r="BO12" s="68"/>
      <c r="BQ12" s="5">
        <f t="shared" ref="BQ12:BQ75" si="4">IFERROR(BE12*$BP$6+BK12*$BP$7,"")</f>
        <v>242189.02993558161</v>
      </c>
      <c r="BR12" s="5">
        <f>IF(BQ12="","",RANK(BQ12,BQ$11:BQ$9930,1)+COUNTIF(BQ$11:BQ12,BQ12)-1)</f>
        <v>17</v>
      </c>
      <c r="BS12" s="69">
        <f t="shared" si="2"/>
        <v>17</v>
      </c>
      <c r="BT12" s="1" t="str">
        <f>IFERROR(INDEX($O$11:$O$1013,MATCH(ROWS($BS$11:BS12),$BS$11:$BS$1005,0)),"")</f>
        <v>ETQP3MR68KVN</v>
      </c>
      <c r="BU12" s="69" t="str">
        <f t="shared" ref="BU12:BU75" si="5">IF(BT12&lt;&gt;"",BT12,"")</f>
        <v>ETQP3MR68KVN</v>
      </c>
    </row>
    <row r="13" spans="1:81">
      <c r="A13" s="1">
        <v>106</v>
      </c>
      <c r="B13" s="28" t="s">
        <v>109</v>
      </c>
      <c r="D13" s="1" t="s">
        <v>110</v>
      </c>
      <c r="E13" s="58"/>
      <c r="F13" s="1" t="s">
        <v>111</v>
      </c>
      <c r="G13" s="2" t="s">
        <v>112</v>
      </c>
      <c r="H13" s="1" t="s">
        <v>113</v>
      </c>
      <c r="I13" s="2" t="s">
        <v>114</v>
      </c>
      <c r="J13" s="1" t="s">
        <v>115</v>
      </c>
      <c r="K13" s="1" t="s">
        <v>134</v>
      </c>
      <c r="L13" s="1" t="s">
        <v>135</v>
      </c>
      <c r="M13" s="1" t="s">
        <v>136</v>
      </c>
      <c r="N13" s="1" t="s">
        <v>119</v>
      </c>
      <c r="O13" s="59" t="s">
        <v>137</v>
      </c>
      <c r="P13" s="60" t="str">
        <f>MID(All_PCC_a[[#This Row],[Part Number]],7,3)</f>
        <v>R33</v>
      </c>
      <c r="Q13" s="61">
        <v>0.33</v>
      </c>
      <c r="R13" s="61" t="str">
        <f>IF(All_PCC_a[[#This Row],[Lo (uH)]]&lt;1,"&lt;1",IF(All_PCC_a[[#This Row],[Lo (uH)]]&lt;10,"&lt;10",IF(All_PCC_a[[#This Row],[Lo (uH)]]&lt;100,"&lt;100",IF(All_PCC_a[[#This Row],[Lo (uH)]]&lt;2000,"&lt;2000",""))))</f>
        <v>&lt;1</v>
      </c>
      <c r="S13" s="61" t="str">
        <f>IFERROR(VLOOKUP(All_PCC_a[[#This Row],[Lo (uH)]],[1]Utility!$D$5:$E$43,2,1),"-")</f>
        <v>≤    0.4</v>
      </c>
      <c r="T13" s="62">
        <v>0.2</v>
      </c>
      <c r="U13" s="70">
        <v>4.8499999999999996</v>
      </c>
      <c r="V13" s="70">
        <v>5.34</v>
      </c>
      <c r="W13" s="61">
        <v>10</v>
      </c>
      <c r="X13" s="71">
        <v>12.7</v>
      </c>
      <c r="Y13" s="61">
        <v>10.6</v>
      </c>
      <c r="Z13" s="64">
        <v>21.8</v>
      </c>
      <c r="AA13" s="61">
        <v>14.5</v>
      </c>
      <c r="AB13" s="1">
        <v>5.5</v>
      </c>
      <c r="AC13" s="1">
        <v>5</v>
      </c>
      <c r="AD13" s="61">
        <v>3</v>
      </c>
      <c r="AE13" s="1">
        <f>ROUND(All_PCC_a[[#This Row],[L (mm)]]*All_PCC_a[[#This Row],[W (mm)]],1)</f>
        <v>27.5</v>
      </c>
      <c r="AF13" s="61" t="str">
        <f>All_PCC_a[[#This Row],[L (mm)]]&amp;"  x  "&amp;All_PCC_a[[#This Row],[W (mm)]]</f>
        <v>5,5  x  5</v>
      </c>
      <c r="AG13" s="65" t="s">
        <v>138</v>
      </c>
      <c r="AH13" s="61" t="str">
        <f>IF(All_PCC_a[[#This Row],[Max Height (mm)]]&lt;=9,"≤ "&amp;ROUNDUP(AD13,0),"≤"&amp;ROUNDUP(AD13,0))</f>
        <v>≤ 3</v>
      </c>
      <c r="AI13" s="1">
        <v>-55</v>
      </c>
      <c r="AJ13" s="1">
        <v>155</v>
      </c>
      <c r="AK13" s="1" t="str">
        <f>All_PCC_a[[#This Row],[Min Temp (deg.C)]]&amp;" to +"&amp;All_PCC_a[[#This Row],[Max Temp (deg.C)]]</f>
        <v>-55 to +155</v>
      </c>
      <c r="AL13" s="1"/>
      <c r="AO13" s="61" t="s">
        <v>122</v>
      </c>
      <c r="AP13" s="71" t="str">
        <f>IFERROR(IF(L1Round&gt;1,ROUND(L1Round,1),L1Round),"-")</f>
        <v>-</v>
      </c>
      <c r="AQ13" s="61" t="s">
        <v>122</v>
      </c>
      <c r="AR13" s="61" t="s">
        <v>122</v>
      </c>
      <c r="AS13" s="1" t="s">
        <v>139</v>
      </c>
      <c r="AT13" s="1" t="s">
        <v>140</v>
      </c>
      <c r="AU13" s="1" t="e" vm="1">
        <f ca="1">_xlfn.IMAGE(All_PCC_a[[#This Row],[Image URL]])</f>
        <v>#NAME?</v>
      </c>
      <c r="AW13" s="1"/>
      <c r="AY13" s="1"/>
      <c r="BC13" s="1">
        <f>IF(Z13&lt;('[1]DCDC Ref'!$J$24/'[1]DCDC Ref'!$J$26)*'[1]DCDC Ref'!$J$28/100,0,1)</f>
        <v>1</v>
      </c>
      <c r="BD13" s="66">
        <f>IF(BC13=1000000000,"",('All Data'!Q13-'[1]DCDC Ref'!$J$30)/'[1]DCDC Ref'!$J$30*100)</f>
        <v>-47.780219780219774</v>
      </c>
      <c r="BE13" s="67">
        <f t="shared" si="3"/>
        <v>47.780219780219774</v>
      </c>
      <c r="BF13" s="67"/>
      <c r="BG13" s="66"/>
      <c r="BH13" s="68">
        <f t="shared" si="0"/>
        <v>0</v>
      </c>
      <c r="BI13" s="67"/>
      <c r="BJ13" s="1">
        <f>IF(BC13=0,"",('All Data'!Z13-'[1]DCDC Ref'!$J$28*('[1]DCDC Ref'!$J$29/100))/'[1]DCDC Ref'!$J$28*('[1]DCDC Ref'!$J$29/100)*100)</f>
        <v>95.448275862068954</v>
      </c>
      <c r="BK13" s="68">
        <f t="shared" si="1"/>
        <v>95.448275862068954</v>
      </c>
      <c r="BL13" s="68"/>
      <c r="BM13" s="68"/>
      <c r="BN13" s="68"/>
      <c r="BO13" s="68"/>
      <c r="BQ13" s="5">
        <f t="shared" si="4"/>
        <v>239378.3402804092</v>
      </c>
      <c r="BR13" s="5">
        <f>IF(BQ13="","",RANK(BQ13,BQ$11:BQ$9930,1)+COUNTIF(BQ$11:BQ13,BQ13)-1)</f>
        <v>14</v>
      </c>
      <c r="BS13" s="69">
        <f t="shared" si="2"/>
        <v>14</v>
      </c>
      <c r="BT13" s="1" t="str">
        <f>IFERROR(INDEX($O$11:$O$1013,MATCH(ROWS($BS$11:BS13),$BS$11:$BS$1005,0)),"")</f>
        <v>ETQP3MR68YFN</v>
      </c>
      <c r="BU13" s="69" t="str">
        <f t="shared" si="5"/>
        <v>ETQP3MR68YFN</v>
      </c>
    </row>
    <row r="14" spans="1:81">
      <c r="A14" s="1">
        <v>116</v>
      </c>
      <c r="B14" s="28" t="s">
        <v>109</v>
      </c>
      <c r="C14" s="24">
        <v>44677</v>
      </c>
      <c r="D14" s="1" t="s">
        <v>110</v>
      </c>
      <c r="E14" s="2"/>
      <c r="F14" s="1" t="s">
        <v>111</v>
      </c>
      <c r="G14" s="2" t="s">
        <v>112</v>
      </c>
      <c r="H14" s="1" t="s">
        <v>113</v>
      </c>
      <c r="I14" s="2" t="s">
        <v>114</v>
      </c>
      <c r="J14" s="1" t="s">
        <v>115</v>
      </c>
      <c r="K14" s="1" t="s">
        <v>141</v>
      </c>
      <c r="L14" s="1" t="s">
        <v>135</v>
      </c>
      <c r="M14" s="1" t="s">
        <v>142</v>
      </c>
      <c r="N14" s="1" t="s">
        <v>119</v>
      </c>
      <c r="O14" s="59" t="s">
        <v>143</v>
      </c>
      <c r="P14" s="60" t="str">
        <f>MID(All_PCC_a[[#This Row],[Part Number]],7,3)</f>
        <v>R47</v>
      </c>
      <c r="Q14" s="61">
        <v>0.47</v>
      </c>
      <c r="R14" s="71" t="str">
        <f>IF(All_PCC_a[[#This Row],[Lo (uH)]]&lt;1,"&lt;1",IF(All_PCC_a[[#This Row],[Lo (uH)]]&lt;10,"&lt;10",IF(All_PCC_a[[#This Row],[Lo (uH)]]&lt;100,"&lt;100",IF(All_PCC_a[[#This Row],[Lo (uH)]]&lt;2000,"&lt;2000",""))))</f>
        <v>&lt;1</v>
      </c>
      <c r="S14" s="61" t="str">
        <f>IFERROR(VLOOKUP(All_PCC_a[[#This Row],[Lo (uH)]],[1]Utility!$D$5:$E$43,2,1),"-")</f>
        <v>≤    0.5</v>
      </c>
      <c r="T14" s="62">
        <v>0.2</v>
      </c>
      <c r="U14" s="70">
        <v>5.8</v>
      </c>
      <c r="V14" s="70">
        <v>6.38</v>
      </c>
      <c r="W14" s="61">
        <v>10</v>
      </c>
      <c r="X14" s="71">
        <v>11.6</v>
      </c>
      <c r="Y14" s="61">
        <v>9.6</v>
      </c>
      <c r="Z14" s="64">
        <v>17.899999999999999</v>
      </c>
      <c r="AA14" s="61">
        <v>12.9</v>
      </c>
      <c r="AB14" s="1">
        <v>5.5</v>
      </c>
      <c r="AC14" s="1">
        <v>5</v>
      </c>
      <c r="AD14" s="61">
        <v>3</v>
      </c>
      <c r="AE14" s="1">
        <f>ROUND(All_PCC_a[[#This Row],[L (mm)]]*All_PCC_a[[#This Row],[W (mm)]],1)</f>
        <v>27.5</v>
      </c>
      <c r="AF14" s="61" t="str">
        <f>All_PCC_a[[#This Row],[L (mm)]]&amp;"  x  "&amp;All_PCC_a[[#This Row],[W (mm)]]</f>
        <v>5,5  x  5</v>
      </c>
      <c r="AG14" s="65" t="s">
        <v>138</v>
      </c>
      <c r="AH14" s="61" t="str">
        <f>IF(All_PCC_a[[#This Row],[Max Height (mm)]]&lt;=9,"≤ "&amp;ROUNDUP(AD14,0),"≤"&amp;ROUNDUP(AD14,0))</f>
        <v>≤ 3</v>
      </c>
      <c r="AI14" s="1">
        <v>-55</v>
      </c>
      <c r="AJ14" s="1">
        <v>155</v>
      </c>
      <c r="AK14" s="1" t="str">
        <f>All_PCC_a[[#This Row],[Min Temp (deg.C)]]&amp;" to +"&amp;All_PCC_a[[#This Row],[Max Temp (deg.C)]]</f>
        <v>-55 to +155</v>
      </c>
      <c r="AL14" s="1"/>
      <c r="AO14" s="61" t="s">
        <v>144</v>
      </c>
      <c r="AP14" s="71" t="s">
        <v>144</v>
      </c>
      <c r="AQ14" s="61" t="s">
        <v>144</v>
      </c>
      <c r="AR14" s="61" t="s">
        <v>144</v>
      </c>
      <c r="AS14" s="1" t="s">
        <v>145</v>
      </c>
      <c r="AT14" s="1" t="s">
        <v>140</v>
      </c>
      <c r="AU14" s="1" t="e" vm="1">
        <f ca="1">_xlfn.IMAGE(All_PCC_a[[#This Row],[Image URL]])</f>
        <v>#NAME?</v>
      </c>
      <c r="AW14" s="1"/>
      <c r="AY14" s="1"/>
      <c r="AZ14" s="1" t="str">
        <f>IF(AY14=1,COUNTIF($AY$11:AY14,1),"")</f>
        <v/>
      </c>
      <c r="BC14" s="1">
        <f>IF(Z14&lt;('[1]DCDC Ref'!$J$24/'[1]DCDC Ref'!$J$26)*'[1]DCDC Ref'!$J$28/100,0,1)</f>
        <v>1</v>
      </c>
      <c r="BD14" s="66">
        <f>IF(BC14=1000000000,"",('All Data'!Q14-'[1]DCDC Ref'!$J$30)/'[1]DCDC Ref'!$J$30*100)</f>
        <v>-25.626373626373628</v>
      </c>
      <c r="BE14" s="67">
        <f t="shared" si="3"/>
        <v>25.626373626373628</v>
      </c>
      <c r="BF14" s="67"/>
      <c r="BG14" s="66"/>
      <c r="BH14" s="68">
        <f t="shared" si="0"/>
        <v>0</v>
      </c>
      <c r="BI14" s="67"/>
      <c r="BJ14" s="1">
        <f>IF(BC14=0,"",('All Data'!Z14-'[1]DCDC Ref'!$J$28*('[1]DCDC Ref'!$J$29/100))/'[1]DCDC Ref'!$J$28*('[1]DCDC Ref'!$J$29/100)*100)</f>
        <v>60.482758620689623</v>
      </c>
      <c r="BK14" s="68">
        <f t="shared" si="1"/>
        <v>60.482758620689623</v>
      </c>
      <c r="BL14" s="68"/>
      <c r="BM14" s="68"/>
      <c r="BN14" s="68"/>
      <c r="BO14" s="68"/>
      <c r="BQ14" s="5">
        <f t="shared" si="4"/>
        <v>128434.28192497158</v>
      </c>
      <c r="BR14" s="5">
        <f>IF(BQ14="","",RANK(BQ14,BQ$11:BQ$9930,1)+COUNTIF(BQ$11:BQ14,BQ14)-1)</f>
        <v>9</v>
      </c>
      <c r="BS14" s="69">
        <f t="shared" si="2"/>
        <v>9</v>
      </c>
      <c r="BT14" s="1" t="str">
        <f>IFERROR(INDEX($O$11:$O$1013,MATCH(ROWS($BS$11:BS14),$BS$11:$BS$1005,0)),"")</f>
        <v>ETQP4MR68KVK</v>
      </c>
      <c r="BU14" s="69" t="str">
        <f t="shared" si="5"/>
        <v>ETQP4MR68KVK</v>
      </c>
    </row>
    <row r="15" spans="1:81">
      <c r="A15" s="1">
        <v>119</v>
      </c>
      <c r="B15" s="28" t="s">
        <v>109</v>
      </c>
      <c r="C15" s="1" t="s">
        <v>146</v>
      </c>
      <c r="D15" s="1" t="s">
        <v>110</v>
      </c>
      <c r="E15" s="2"/>
      <c r="F15" s="1" t="s">
        <v>111</v>
      </c>
      <c r="G15" s="2" t="s">
        <v>112</v>
      </c>
      <c r="H15" s="1" t="s">
        <v>113</v>
      </c>
      <c r="I15" s="2" t="s">
        <v>114</v>
      </c>
      <c r="J15" s="1" t="s">
        <v>115</v>
      </c>
      <c r="K15" s="1" t="s">
        <v>116</v>
      </c>
      <c r="L15" s="1" t="s">
        <v>147</v>
      </c>
      <c r="M15" s="1" t="s">
        <v>148</v>
      </c>
      <c r="N15" s="1" t="s">
        <v>119</v>
      </c>
      <c r="O15" s="59" t="s">
        <v>149</v>
      </c>
      <c r="P15" s="60" t="str">
        <f>MID(All_PCC_a[[#This Row],[Part Number]],7,3)</f>
        <v>R47</v>
      </c>
      <c r="Q15" s="61">
        <v>0.47</v>
      </c>
      <c r="R15" s="71" t="str">
        <f>IF(All_PCC_a[[#This Row],[Lo (uH)]]&lt;1,"&lt;1",IF(All_PCC_a[[#This Row],[Lo (uH)]]&lt;10,"&lt;10",IF(All_PCC_a[[#This Row],[Lo (uH)]]&lt;100,"&lt;100",IF(All_PCC_a[[#This Row],[Lo (uH)]]&lt;2000,"&lt;2000",""))))</f>
        <v>&lt;1</v>
      </c>
      <c r="S15" s="61" t="str">
        <f>IFERROR(VLOOKUP(All_PCC_a[[#This Row],[Lo (uH)]],[1]Utility!$D$5:$E$43,2,1),"-")</f>
        <v>≤    0.5</v>
      </c>
      <c r="T15" s="72">
        <v>0.2</v>
      </c>
      <c r="U15" s="61">
        <v>1.53</v>
      </c>
      <c r="V15" s="70">
        <v>1.68</v>
      </c>
      <c r="W15" s="73">
        <v>10</v>
      </c>
      <c r="X15" s="71">
        <v>31.1</v>
      </c>
      <c r="Y15" s="61">
        <v>24.9</v>
      </c>
      <c r="Z15" s="64">
        <v>47.3</v>
      </c>
      <c r="AA15" s="61">
        <v>33.200000000000003</v>
      </c>
      <c r="AB15" s="1">
        <v>10.9</v>
      </c>
      <c r="AC15" s="1">
        <v>10</v>
      </c>
      <c r="AD15" s="61">
        <v>4</v>
      </c>
      <c r="AE15" s="1">
        <f>ROUND(All_PCC_a[[#This Row],[L (mm)]]*All_PCC_a[[#This Row],[W (mm)]],1)</f>
        <v>109</v>
      </c>
      <c r="AF15" s="61" t="str">
        <f>All_PCC_a[[#This Row],[L (mm)]]&amp;"  x  "&amp;All_PCC_a[[#This Row],[W (mm)]]</f>
        <v>10,9  x  10</v>
      </c>
      <c r="AG15" s="74" t="s">
        <v>150</v>
      </c>
      <c r="AH15" s="61" t="str">
        <f>IF(All_PCC_a[[#This Row],[Max Height (mm)]]&lt;=9,"≤ "&amp;ROUNDUP(AD15,0),"≤"&amp;ROUNDUP(AD15,0))</f>
        <v>≤ 4</v>
      </c>
      <c r="AI15" s="75">
        <v>-40</v>
      </c>
      <c r="AJ15" s="75">
        <v>150</v>
      </c>
      <c r="AK15" s="1" t="str">
        <f>All_PCC_a[[#This Row],[Min Temp (deg.C)]]&amp;" to +"&amp;All_PCC_a[[#This Row],[Max Temp (deg.C)]]</f>
        <v>-40 to +150</v>
      </c>
      <c r="AL15" s="1"/>
      <c r="AO15" s="61" t="s">
        <v>122</v>
      </c>
      <c r="AP15" s="61" t="str">
        <f t="shared" ref="AP15:AP45" si="6">IFERROR(IF(L1Round&gt;1,ROUND(L1Round,1),L1Round),"-")</f>
        <v>-</v>
      </c>
      <c r="AQ15" s="61" t="s">
        <v>122</v>
      </c>
      <c r="AR15" s="61" t="s">
        <v>122</v>
      </c>
      <c r="AS15" s="1" t="s">
        <v>151</v>
      </c>
      <c r="AT15" s="1" t="s">
        <v>124</v>
      </c>
      <c r="AU15" s="1" t="e" vm="1">
        <f ca="1">_xlfn.IMAGE(All_PCC_a[[#This Row],[Image URL]])</f>
        <v>#NAME?</v>
      </c>
      <c r="AW15" s="1"/>
      <c r="AY15" s="1"/>
      <c r="AZ15" s="1" t="str">
        <f>IF(AY15=1,COUNTIF($AY$11:AY15,1),"")</f>
        <v/>
      </c>
      <c r="BC15" s="1">
        <f>IF(Z15&lt;('[1]DCDC Ref'!$J$24/'[1]DCDC Ref'!$J$26)*'[1]DCDC Ref'!$J$28/100,0,1)</f>
        <v>1</v>
      </c>
      <c r="BD15" s="66">
        <f>IF(BC15=1000000000,"",('All Data'!Q15-'[1]DCDC Ref'!$J$30)/'[1]DCDC Ref'!$J$30*100)</f>
        <v>-25.626373626373628</v>
      </c>
      <c r="BE15" s="67">
        <f t="shared" si="3"/>
        <v>25.626373626373628</v>
      </c>
      <c r="BF15" s="67"/>
      <c r="BG15" s="66"/>
      <c r="BH15" s="68">
        <f t="shared" si="0"/>
        <v>0</v>
      </c>
      <c r="BI15" s="67"/>
      <c r="BJ15" s="1">
        <f>IF(BC15=0,"",('All Data'!Z15-'[1]DCDC Ref'!$J$28*('[1]DCDC Ref'!$J$29/100))/'[1]DCDC Ref'!$J$28*('[1]DCDC Ref'!$J$29/100)*100)</f>
        <v>324.06896551724134</v>
      </c>
      <c r="BK15" s="68">
        <f t="shared" si="1"/>
        <v>324.06896551724134</v>
      </c>
      <c r="BL15" s="68"/>
      <c r="BM15" s="68"/>
      <c r="BN15" s="68"/>
      <c r="BO15" s="68"/>
      <c r="BQ15" s="5">
        <f t="shared" si="4"/>
        <v>129752.21295945434</v>
      </c>
      <c r="BR15" s="5">
        <f>IF(BQ15="","",RANK(BQ15,BQ$11:BQ$9930,1)+COUNTIF(BQ$11:BQ15,BQ15)-1)</f>
        <v>13</v>
      </c>
      <c r="BS15" s="69">
        <f t="shared" si="2"/>
        <v>13</v>
      </c>
      <c r="BT15" s="1" t="str">
        <f>IFERROR(INDEX($O$11:$O$1013,MATCH(ROWS($BS$11:BS15),$BS$11:$BS$1005,0)),"")</f>
        <v>ETQP5MR68YLC</v>
      </c>
      <c r="BU15" s="69" t="str">
        <f t="shared" si="5"/>
        <v>ETQP5MR68YLC</v>
      </c>
    </row>
    <row r="16" spans="1:81">
      <c r="A16" s="1">
        <v>1</v>
      </c>
      <c r="B16" s="28" t="s">
        <v>109</v>
      </c>
      <c r="D16" s="1" t="s">
        <v>110</v>
      </c>
      <c r="E16" s="58"/>
      <c r="F16" s="1" t="s">
        <v>111</v>
      </c>
      <c r="G16" s="2" t="s">
        <v>112</v>
      </c>
      <c r="H16" s="1" t="s">
        <v>113</v>
      </c>
      <c r="I16" s="2" t="s">
        <v>114</v>
      </c>
      <c r="J16" s="1" t="s">
        <v>115</v>
      </c>
      <c r="K16" s="1" t="s">
        <v>116</v>
      </c>
      <c r="L16" s="1" t="s">
        <v>152</v>
      </c>
      <c r="M16" s="1" t="s">
        <v>153</v>
      </c>
      <c r="N16" s="1" t="s">
        <v>154</v>
      </c>
      <c r="O16" s="59" t="s">
        <v>155</v>
      </c>
      <c r="P16" s="60" t="str">
        <f>MID(All_PCC_a[[#This Row],[Part Number]],7,3)</f>
        <v>R68</v>
      </c>
      <c r="Q16" s="61">
        <v>0.68</v>
      </c>
      <c r="R16" s="61" t="str">
        <f>IF(All_PCC_a[[#This Row],[Lo (uH)]]&lt;1,"&lt;1",IF(All_PCC_a[[#This Row],[Lo (uH)]]&lt;10,"&lt;10",IF(All_PCC_a[[#This Row],[Lo (uH)]]&lt;100,"&lt;100",IF(All_PCC_a[[#This Row],[Lo (uH)]]&lt;2000,"&lt;2000",""))))</f>
        <v>&lt;1</v>
      </c>
      <c r="S16" s="61" t="str">
        <f>IFERROR(VLOOKUP(All_PCC_a[[#This Row],[Lo (uH)]],[1]Utility!$D$5:$E$43,2,1),"-")</f>
        <v>≤    0.7</v>
      </c>
      <c r="T16" s="62">
        <v>0.2</v>
      </c>
      <c r="U16" s="70">
        <v>6.3</v>
      </c>
      <c r="V16" s="70">
        <v>6.9300000000000006</v>
      </c>
      <c r="W16" s="61">
        <v>10</v>
      </c>
      <c r="X16" s="61">
        <v>12</v>
      </c>
      <c r="Y16" s="61">
        <v>9.8000000000000007</v>
      </c>
      <c r="Z16" s="64">
        <v>24</v>
      </c>
      <c r="AA16" s="61">
        <v>17.66</v>
      </c>
      <c r="AB16" s="1">
        <v>6.5</v>
      </c>
      <c r="AC16" s="1">
        <v>6</v>
      </c>
      <c r="AD16" s="61">
        <v>3</v>
      </c>
      <c r="AE16" s="1">
        <f>ROUND(All_PCC_a[[#This Row],[L (mm)]]*All_PCC_a[[#This Row],[W (mm)]],1)</f>
        <v>39</v>
      </c>
      <c r="AF16" s="61" t="str">
        <f>All_PCC_a[[#This Row],[L (mm)]]&amp;"  x  "&amp;All_PCC_a[[#This Row],[W (mm)]]</f>
        <v>6,5  x  6</v>
      </c>
      <c r="AG16" s="76" t="s">
        <v>156</v>
      </c>
      <c r="AH16" s="61" t="str">
        <f>IF(All_PCC_a[[#This Row],[Max Height (mm)]]&lt;=9,"≤ "&amp;ROUNDUP(AD16,0),"≤"&amp;ROUNDUP(AD16,0))</f>
        <v>≤ 3</v>
      </c>
      <c r="AI16" s="11">
        <v>-40</v>
      </c>
      <c r="AJ16" s="11">
        <v>150</v>
      </c>
      <c r="AK16" s="1" t="str">
        <f>All_PCC_a[[#This Row],[Min Temp (deg.C)]]&amp;" to +"&amp;All_PCC_a[[#This Row],[Max Temp (deg.C)]]</f>
        <v>-40 to +150</v>
      </c>
      <c r="AL16" s="1"/>
      <c r="AO16" s="61" t="s">
        <v>144</v>
      </c>
      <c r="AP16" s="61" t="str">
        <f t="shared" si="6"/>
        <v>-</v>
      </c>
      <c r="AQ16" s="62" t="s">
        <v>144</v>
      </c>
      <c r="AR16" s="61" t="s">
        <v>122</v>
      </c>
      <c r="AS16" s="1" t="s">
        <v>157</v>
      </c>
      <c r="AT16" s="1" t="s">
        <v>124</v>
      </c>
      <c r="AU16" s="1" t="e" vm="1">
        <f ca="1">_xlfn.IMAGE(All_PCC_a[[#This Row],[Image URL]])</f>
        <v>#NAME?</v>
      </c>
      <c r="AW16" s="1"/>
      <c r="AY16" s="1"/>
      <c r="BC16" s="1">
        <f>IF(Z16&lt;('[1]DCDC Ref'!$J$24/'[1]DCDC Ref'!$J$26)*'[1]DCDC Ref'!$J$28/100,0,1)</f>
        <v>1</v>
      </c>
      <c r="BD16" s="66">
        <f>IF(BC16=1000000000,"",('All Data'!Q16-'[1]DCDC Ref'!$J$30)/'[1]DCDC Ref'!$J$30*100)</f>
        <v>7.6043956043956165</v>
      </c>
      <c r="BE16" s="67">
        <f t="shared" si="3"/>
        <v>7.6043956043956165</v>
      </c>
      <c r="BF16" s="67"/>
      <c r="BG16" s="66"/>
      <c r="BH16" s="68">
        <f t="shared" si="0"/>
        <v>0</v>
      </c>
      <c r="BI16" s="67"/>
      <c r="BJ16" s="1">
        <f>IF(BC16=0,"",('All Data'!Z16-'[1]DCDC Ref'!$J$28*('[1]DCDC Ref'!$J$29/100))/'[1]DCDC Ref'!$J$28*('[1]DCDC Ref'!$J$29/100)*100)</f>
        <v>115.17241379310343</v>
      </c>
      <c r="BK16" s="68">
        <f t="shared" si="1"/>
        <v>115.17241379310343</v>
      </c>
      <c r="BL16" s="68"/>
      <c r="BM16" s="68"/>
      <c r="BN16" s="68"/>
      <c r="BO16" s="68"/>
      <c r="BQ16" s="5">
        <f t="shared" si="4"/>
        <v>38597.840090943595</v>
      </c>
      <c r="BR16" s="5">
        <f>IF(BQ16="","",RANK(BQ16,BQ$11:BQ$9930,1)+COUNTIF(BQ$11:BQ16,BQ16)-1)</f>
        <v>3</v>
      </c>
      <c r="BS16" s="69">
        <f t="shared" si="2"/>
        <v>3</v>
      </c>
      <c r="BT16" s="1" t="str">
        <f>IFERROR(INDEX($O$11:$O$1013,MATCH(ROWS($BS$11:BS16),$BS$11:$BS$1005,0)),"")</f>
        <v>ETQP5MR68YSC</v>
      </c>
      <c r="BU16" s="69" t="str">
        <f t="shared" si="5"/>
        <v>ETQP5MR68YSC</v>
      </c>
    </row>
    <row r="17" spans="1:73" ht="15">
      <c r="A17" s="1">
        <v>38</v>
      </c>
      <c r="B17" s="28" t="s">
        <v>109</v>
      </c>
      <c r="D17" s="1" t="s">
        <v>110</v>
      </c>
      <c r="E17" s="58"/>
      <c r="F17" s="1" t="s">
        <v>111</v>
      </c>
      <c r="G17" s="2" t="s">
        <v>112</v>
      </c>
      <c r="H17" s="1" t="s">
        <v>113</v>
      </c>
      <c r="I17" s="2" t="s">
        <v>114</v>
      </c>
      <c r="J17" s="1" t="s">
        <v>115</v>
      </c>
      <c r="K17" s="1" t="s">
        <v>116</v>
      </c>
      <c r="L17" s="1" t="s">
        <v>117</v>
      </c>
      <c r="M17" s="1" t="s">
        <v>118</v>
      </c>
      <c r="N17" s="1" t="s">
        <v>154</v>
      </c>
      <c r="O17" s="59" t="s">
        <v>158</v>
      </c>
      <c r="P17" s="60" t="str">
        <f>MID(All_PCC_a[[#This Row],[Part Number]],7,3)</f>
        <v>R68</v>
      </c>
      <c r="Q17" s="61">
        <v>0.68</v>
      </c>
      <c r="R17" s="61" t="str">
        <f>IF(All_PCC_a[[#This Row],[Lo (uH)]]&lt;1,"&lt;1",IF(All_PCC_a[[#This Row],[Lo (uH)]]&lt;10,"&lt;10",IF(All_PCC_a[[#This Row],[Lo (uH)]]&lt;100,"&lt;100",IF(All_PCC_a[[#This Row],[Lo (uH)]]&lt;2000,"&lt;2000",""))))</f>
        <v>&lt;1</v>
      </c>
      <c r="S17" s="61" t="str">
        <f>IFERROR(VLOOKUP(All_PCC_a[[#This Row],[Lo (uH)]],[1]Utility!$D$5:$E$43,2,1),"-")</f>
        <v>≤    0.7</v>
      </c>
      <c r="T17" s="62">
        <v>0.2</v>
      </c>
      <c r="U17" s="63">
        <v>1.75</v>
      </c>
      <c r="V17" s="63">
        <v>1.93</v>
      </c>
      <c r="W17" s="61">
        <v>10</v>
      </c>
      <c r="X17" s="61">
        <v>31.5</v>
      </c>
      <c r="Y17" s="61">
        <v>26.3</v>
      </c>
      <c r="Z17" s="64">
        <v>40</v>
      </c>
      <c r="AA17" s="61">
        <v>28.37</v>
      </c>
      <c r="AB17" s="1">
        <v>10.9</v>
      </c>
      <c r="AC17" s="1">
        <v>10</v>
      </c>
      <c r="AD17" s="61">
        <v>5</v>
      </c>
      <c r="AE17" s="1">
        <f>ROUND(All_PCC_a[[#This Row],[L (mm)]]*All_PCC_a[[#This Row],[W (mm)]],1)</f>
        <v>109</v>
      </c>
      <c r="AF17" s="61" t="str">
        <f>All_PCC_a[[#This Row],[L (mm)]]&amp;"  x  "&amp;All_PCC_a[[#This Row],[W (mm)]]</f>
        <v>10,9  x  10</v>
      </c>
      <c r="AG17" s="76" t="s">
        <v>121</v>
      </c>
      <c r="AH17" s="61" t="str">
        <f>IF(All_PCC_a[[#This Row],[Max Height (mm)]]&lt;=9,"≤ "&amp;ROUNDUP(AD17,0),"≤"&amp;ROUNDUP(AD17,0))</f>
        <v>≤ 5</v>
      </c>
      <c r="AI17" s="11">
        <v>-40</v>
      </c>
      <c r="AJ17" s="11">
        <v>150</v>
      </c>
      <c r="AK17" s="1" t="str">
        <f>All_PCC_a[[#This Row],[Min Temp (deg.C)]]&amp;" to +"&amp;All_PCC_a[[#This Row],[Max Temp (deg.C)]]</f>
        <v>-40 to +150</v>
      </c>
      <c r="AL17" s="1"/>
      <c r="AO17" s="61" t="s">
        <v>144</v>
      </c>
      <c r="AP17" s="61" t="str">
        <f t="shared" si="6"/>
        <v>-</v>
      </c>
      <c r="AQ17" s="61" t="s">
        <v>122</v>
      </c>
      <c r="AR17" s="61" t="s">
        <v>122</v>
      </c>
      <c r="AS17" s="1" t="s">
        <v>159</v>
      </c>
      <c r="AT17" s="1" t="s">
        <v>124</v>
      </c>
      <c r="AU17" s="1" t="e" vm="1">
        <f ca="1">_xlfn.IMAGE(All_PCC_a[[#This Row],[Image URL]])</f>
        <v>#NAME?</v>
      </c>
      <c r="AW17" s="1"/>
      <c r="AY17" s="1"/>
      <c r="BC17" s="1">
        <f>IF(Z17&lt;('[1]DCDC Ref'!$J$24/'[1]DCDC Ref'!$J$26)*'[1]DCDC Ref'!$J$28/100,0,1)</f>
        <v>1</v>
      </c>
      <c r="BD17" s="66">
        <f>IF(BC17=1000000000,"",('All Data'!Q17-'[1]DCDC Ref'!$J$30)/'[1]DCDC Ref'!$J$30*100)</f>
        <v>7.6043956043956165</v>
      </c>
      <c r="BE17" s="67">
        <f t="shared" si="3"/>
        <v>7.6043956043956165</v>
      </c>
      <c r="BF17" s="67"/>
      <c r="BG17" s="66"/>
      <c r="BH17" s="68">
        <f t="shared" si="0"/>
        <v>0</v>
      </c>
      <c r="BI17" s="67"/>
      <c r="BJ17" s="1">
        <f>IF(BC17=0,"",('All Data'!Z17-'[1]DCDC Ref'!$J$28*('[1]DCDC Ref'!$J$29/100))/'[1]DCDC Ref'!$J$28*('[1]DCDC Ref'!$J$29/100)*100)</f>
        <v>258.62068965517238</v>
      </c>
      <c r="BK17" s="68">
        <f t="shared" si="1"/>
        <v>258.62068965517238</v>
      </c>
      <c r="BL17" s="68"/>
      <c r="BM17" s="68"/>
      <c r="BN17" s="68"/>
      <c r="BO17" s="68"/>
      <c r="BQ17" s="5">
        <f t="shared" si="4"/>
        <v>39315.081470253943</v>
      </c>
      <c r="BR17" s="5">
        <f>IF(BQ17="","",RANK(BQ17,BQ$11:BQ$9930,1)+COUNTIF(BQ$11:BQ17,BQ17)-1)</f>
        <v>5</v>
      </c>
      <c r="BS17" s="69">
        <f t="shared" si="2"/>
        <v>5</v>
      </c>
      <c r="BT17" s="1" t="str">
        <f>IFERROR(INDEX($O$11:$O$1013,MATCH(ROWS($BS$11:BS17),$BS$11:$BS$1005,0)),"")</f>
        <v>ETQP8MR68JFA</v>
      </c>
      <c r="BU17" s="69" t="str">
        <f t="shared" si="5"/>
        <v>ETQP8MR68JFA</v>
      </c>
    </row>
    <row r="18" spans="1:73" ht="15">
      <c r="A18" s="1">
        <v>46</v>
      </c>
      <c r="B18" s="28" t="s">
        <v>109</v>
      </c>
      <c r="D18" s="1" t="s">
        <v>110</v>
      </c>
      <c r="E18" s="58"/>
      <c r="F18" s="1" t="s">
        <v>111</v>
      </c>
      <c r="G18" s="2" t="s">
        <v>112</v>
      </c>
      <c r="H18" s="1" t="s">
        <v>113</v>
      </c>
      <c r="I18" s="2" t="s">
        <v>114</v>
      </c>
      <c r="J18" s="1" t="s">
        <v>115</v>
      </c>
      <c r="K18" s="1" t="s">
        <v>126</v>
      </c>
      <c r="L18" s="1" t="s">
        <v>127</v>
      </c>
      <c r="M18" s="1" t="s">
        <v>128</v>
      </c>
      <c r="N18" s="1" t="s">
        <v>119</v>
      </c>
      <c r="O18" s="59" t="s">
        <v>160</v>
      </c>
      <c r="P18" s="60" t="str">
        <f>MID(All_PCC_a[[#This Row],[Part Number]],7,3)</f>
        <v>R68</v>
      </c>
      <c r="Q18" s="61">
        <v>0.68</v>
      </c>
      <c r="R18" s="61" t="str">
        <f>IF(All_PCC_a[[#This Row],[Lo (uH)]]&lt;1,"&lt;1",IF(All_PCC_a[[#This Row],[Lo (uH)]]&lt;10,"&lt;10",IF(All_PCC_a[[#This Row],[Lo (uH)]]&lt;100,"&lt;100",IF(All_PCC_a[[#This Row],[Lo (uH)]]&lt;2000,"&lt;2000",""))))</f>
        <v>&lt;1</v>
      </c>
      <c r="S18" s="61" t="str">
        <f>IFERROR(VLOOKUP(All_PCC_a[[#This Row],[Lo (uH)]],[1]Utility!$D$5:$E$43,2,1),"-")</f>
        <v>≤    0.7</v>
      </c>
      <c r="T18" s="62">
        <v>0.2</v>
      </c>
      <c r="U18" s="63">
        <v>1.1000000000000001</v>
      </c>
      <c r="V18" s="63">
        <v>1.21</v>
      </c>
      <c r="W18" s="61">
        <v>10</v>
      </c>
      <c r="X18" s="61">
        <v>42.6</v>
      </c>
      <c r="Y18" s="61">
        <v>35.4</v>
      </c>
      <c r="Z18" s="64">
        <v>56.9</v>
      </c>
      <c r="AA18" s="61">
        <f>ROUND(40.3333333333333,2)</f>
        <v>40.33</v>
      </c>
      <c r="AB18" s="1">
        <v>12.6</v>
      </c>
      <c r="AC18" s="1">
        <v>13.2</v>
      </c>
      <c r="AD18" s="61">
        <v>8</v>
      </c>
      <c r="AE18" s="1">
        <f>ROUND(All_PCC_a[[#This Row],[L (mm)]]*All_PCC_a[[#This Row],[W (mm)]],1)</f>
        <v>166.3</v>
      </c>
      <c r="AF18" s="61" t="str">
        <f>All_PCC_a[[#This Row],[L (mm)]]&amp;"  x  "&amp;All_PCC_a[[#This Row],[W (mm)]]</f>
        <v>12,6  x  13,2</v>
      </c>
      <c r="AG18" s="65" t="s">
        <v>130</v>
      </c>
      <c r="AH18" s="61" t="str">
        <f>IF(All_PCC_a[[#This Row],[Max Height (mm)]]&lt;=9,"≤ "&amp;ROUNDUP(AD18,0),"≤"&amp;ROUNDUP(AD18,0))</f>
        <v>≤ 8</v>
      </c>
      <c r="AI18" s="1">
        <v>-40</v>
      </c>
      <c r="AJ18" s="1">
        <v>160</v>
      </c>
      <c r="AK18" s="1" t="str">
        <f>All_PCC_a[[#This Row],[Min Temp (deg.C)]]&amp;" to +"&amp;All_PCC_a[[#This Row],[Max Temp (deg.C)]]</f>
        <v>-40 to +160</v>
      </c>
      <c r="AL18" s="1"/>
      <c r="AN18" s="1" t="s">
        <v>131</v>
      </c>
      <c r="AO18" s="61" t="s">
        <v>122</v>
      </c>
      <c r="AP18" s="61" t="str">
        <f t="shared" si="6"/>
        <v>-</v>
      </c>
      <c r="AQ18" s="61" t="s">
        <v>122</v>
      </c>
      <c r="AR18" s="61" t="s">
        <v>122</v>
      </c>
      <c r="AS18" s="1" t="s">
        <v>161</v>
      </c>
      <c r="AT18" s="1" t="s">
        <v>133</v>
      </c>
      <c r="AU18" s="1" t="e" vm="1">
        <f ca="1">_xlfn.IMAGE(All_PCC_a[[#This Row],[Image URL]])</f>
        <v>#NAME?</v>
      </c>
      <c r="AW18" s="1"/>
      <c r="AY18" s="1"/>
      <c r="AZ18" s="1" t="str">
        <f>IF(AY18=1,COUNTIF($AY$11:AY18,1),"")</f>
        <v/>
      </c>
      <c r="BC18" s="1">
        <f>IF(Z18&lt;('[1]DCDC Ref'!$J$24/'[1]DCDC Ref'!$J$26)*'[1]DCDC Ref'!$J$28/100,0,1)</f>
        <v>1</v>
      </c>
      <c r="BD18" s="66">
        <f>IF(BC18=1000000000,"",('All Data'!Q18-'[1]DCDC Ref'!$J$30)/'[1]DCDC Ref'!$J$30*100)</f>
        <v>7.6043956043956165</v>
      </c>
      <c r="BE18" s="67">
        <f t="shared" si="3"/>
        <v>7.6043956043956165</v>
      </c>
      <c r="BF18" s="67"/>
      <c r="BG18" s="66"/>
      <c r="BH18" s="68">
        <f t="shared" si="0"/>
        <v>0</v>
      </c>
      <c r="BI18" s="67"/>
      <c r="BJ18" s="1">
        <f>IF(BC18=0,"",('All Data'!Z18-'[1]DCDC Ref'!$J$28*('[1]DCDC Ref'!$J$29/100))/'[1]DCDC Ref'!$J$28*('[1]DCDC Ref'!$J$29/100)*100)</f>
        <v>410.13793103448268</v>
      </c>
      <c r="BK18" s="68">
        <f t="shared" si="1"/>
        <v>410.13793103448268</v>
      </c>
      <c r="BL18" s="68"/>
      <c r="BM18" s="68"/>
      <c r="BN18" s="68"/>
      <c r="BO18" s="68"/>
      <c r="BQ18" s="5">
        <f t="shared" si="4"/>
        <v>40072.667677150494</v>
      </c>
      <c r="BR18" s="5">
        <f>IF(BQ18="","",RANK(BQ18,BQ$11:BQ$9930,1)+COUNTIF(BQ$11:BQ18,BQ18)-1)</f>
        <v>7</v>
      </c>
      <c r="BS18" s="69">
        <f t="shared" si="2"/>
        <v>7</v>
      </c>
      <c r="BT18" s="1" t="str">
        <f>IFERROR(INDEX($O$11:$O$1013,MATCH(ROWS($BS$11:BS18),$BS$11:$BS$1005,0)),"")</f>
        <v>ETQPAMR68JFW</v>
      </c>
      <c r="BU18" s="69" t="str">
        <f t="shared" si="5"/>
        <v>ETQPAMR68JFW</v>
      </c>
    </row>
    <row r="19" spans="1:73" ht="15">
      <c r="A19" s="1">
        <v>59</v>
      </c>
      <c r="B19" s="28" t="s">
        <v>109</v>
      </c>
      <c r="D19" s="1" t="s">
        <v>110</v>
      </c>
      <c r="E19" s="58"/>
      <c r="F19" s="1" t="s">
        <v>111</v>
      </c>
      <c r="G19" s="2" t="s">
        <v>112</v>
      </c>
      <c r="H19" s="1" t="s">
        <v>113</v>
      </c>
      <c r="I19" s="2" t="s">
        <v>114</v>
      </c>
      <c r="J19" s="1" t="s">
        <v>115</v>
      </c>
      <c r="K19" s="1" t="s">
        <v>134</v>
      </c>
      <c r="L19" s="1" t="s">
        <v>135</v>
      </c>
      <c r="M19" s="1" t="s">
        <v>136</v>
      </c>
      <c r="N19" s="1" t="s">
        <v>119</v>
      </c>
      <c r="O19" s="59" t="s">
        <v>162</v>
      </c>
      <c r="P19" s="60" t="str">
        <f>MID(All_PCC_a[[#This Row],[Part Number]],7,3)</f>
        <v>R68</v>
      </c>
      <c r="Q19" s="61">
        <v>0.68</v>
      </c>
      <c r="R19" s="61" t="str">
        <f>IF(All_PCC_a[[#This Row],[Lo (uH)]]&lt;1,"&lt;1",IF(All_PCC_a[[#This Row],[Lo (uH)]]&lt;10,"&lt;10",IF(All_PCC_a[[#This Row],[Lo (uH)]]&lt;100,"&lt;100",IF(All_PCC_a[[#This Row],[Lo (uH)]]&lt;2000,"&lt;2000",""))))</f>
        <v>&lt;1</v>
      </c>
      <c r="S19" s="61" t="str">
        <f>IFERROR(VLOOKUP(All_PCC_a[[#This Row],[Lo (uH)]],[1]Utility!$D$5:$E$43,2,1),"-")</f>
        <v>≤    0.7</v>
      </c>
      <c r="T19" s="62">
        <v>0.2</v>
      </c>
      <c r="U19" s="63">
        <v>7.6</v>
      </c>
      <c r="V19" s="63">
        <v>8.36</v>
      </c>
      <c r="W19" s="61">
        <v>10</v>
      </c>
      <c r="X19" s="61">
        <v>10.199999999999999</v>
      </c>
      <c r="Y19" s="61">
        <v>8.4</v>
      </c>
      <c r="Z19" s="64">
        <v>15.9</v>
      </c>
      <c r="AA19" s="77">
        <v>10.4</v>
      </c>
      <c r="AB19" s="1">
        <v>5.5</v>
      </c>
      <c r="AC19" s="1">
        <v>5</v>
      </c>
      <c r="AD19" s="61">
        <v>3</v>
      </c>
      <c r="AE19" s="1">
        <f>ROUND(All_PCC_a[[#This Row],[L (mm)]]*All_PCC_a[[#This Row],[W (mm)]],1)</f>
        <v>27.5</v>
      </c>
      <c r="AF19" s="61" t="str">
        <f>All_PCC_a[[#This Row],[L (mm)]]&amp;"  x  "&amp;All_PCC_a[[#This Row],[W (mm)]]</f>
        <v>5,5  x  5</v>
      </c>
      <c r="AG19" s="65" t="s">
        <v>138</v>
      </c>
      <c r="AH19" s="61" t="str">
        <f>IF(All_PCC_a[[#This Row],[Max Height (mm)]]&lt;=9,"≤ "&amp;ROUNDUP(AD19,0),"≤"&amp;ROUNDUP(AD19,0))</f>
        <v>≤ 3</v>
      </c>
      <c r="AI19" s="1">
        <v>-55</v>
      </c>
      <c r="AJ19" s="1">
        <v>155</v>
      </c>
      <c r="AK19" s="1" t="str">
        <f>All_PCC_a[[#This Row],[Min Temp (deg.C)]]&amp;" to +"&amp;All_PCC_a[[#This Row],[Max Temp (deg.C)]]</f>
        <v>-55 to +155</v>
      </c>
      <c r="AL19" s="1"/>
      <c r="AO19" s="61" t="s">
        <v>122</v>
      </c>
      <c r="AP19" s="61" t="str">
        <f t="shared" si="6"/>
        <v>-</v>
      </c>
      <c r="AQ19" s="61" t="s">
        <v>122</v>
      </c>
      <c r="AR19" s="61" t="s">
        <v>122</v>
      </c>
      <c r="AS19" s="1" t="s">
        <v>163</v>
      </c>
      <c r="AT19" s="1" t="s">
        <v>140</v>
      </c>
      <c r="AU19" s="1" t="e" vm="1">
        <f ca="1">_xlfn.IMAGE(All_PCC_a[[#This Row],[Image URL]])</f>
        <v>#NAME?</v>
      </c>
      <c r="AW19" s="1"/>
      <c r="AY19" s="1"/>
      <c r="AZ19" s="1" t="str">
        <f>IF(AY19=1,COUNTIF($AY$11:AY19,1),"")</f>
        <v/>
      </c>
      <c r="BC19" s="1">
        <f>IF(Z19&lt;('[1]DCDC Ref'!$J$24/'[1]DCDC Ref'!$J$26)*'[1]DCDC Ref'!$J$28/100,0,1)</f>
        <v>1</v>
      </c>
      <c r="BD19" s="66">
        <f>IF(BC19=1000000000,"",('All Data'!Q19-'[1]DCDC Ref'!$J$30)/'[1]DCDC Ref'!$J$30*100)</f>
        <v>7.6043956043956165</v>
      </c>
      <c r="BE19" s="67">
        <f t="shared" si="3"/>
        <v>7.6043956043956165</v>
      </c>
      <c r="BF19" s="67"/>
      <c r="BG19" s="66"/>
      <c r="BH19" s="68">
        <f t="shared" si="0"/>
        <v>0</v>
      </c>
      <c r="BI19" s="67"/>
      <c r="BJ19" s="1">
        <f>IF(BC19=0,"",('All Data'!Z19-'[1]DCDC Ref'!$J$28*('[1]DCDC Ref'!$J$29/100))/'[1]DCDC Ref'!$J$28*('[1]DCDC Ref'!$J$29/100)*100)</f>
        <v>42.551724137931025</v>
      </c>
      <c r="BK19" s="68">
        <f t="shared" si="1"/>
        <v>42.551724137931025</v>
      </c>
      <c r="BL19" s="68"/>
      <c r="BM19" s="68"/>
      <c r="BN19" s="68"/>
      <c r="BO19" s="68"/>
      <c r="BQ19" s="5">
        <f t="shared" si="4"/>
        <v>38234.736642667733</v>
      </c>
      <c r="BR19" s="5">
        <f>IF(BQ19="","",RANK(BQ19,BQ$11:BQ$9930,1)+COUNTIF(BQ$11:BQ19,BQ19)-1)</f>
        <v>1</v>
      </c>
      <c r="BS19" s="69">
        <f t="shared" si="2"/>
        <v>1</v>
      </c>
      <c r="BT19" s="1" t="str">
        <f>IFERROR(INDEX($O$11:$O$1013,MATCH(ROWS($BS$11:BS19),$BS$11:$BS$1005,0)),"")</f>
        <v>ETQP3MR47KVP</v>
      </c>
      <c r="BU19" s="69" t="str">
        <f t="shared" si="5"/>
        <v>ETQP3MR47KVP</v>
      </c>
    </row>
    <row r="20" spans="1:73" ht="15">
      <c r="A20" s="1">
        <v>70</v>
      </c>
      <c r="B20" s="28" t="s">
        <v>109</v>
      </c>
      <c r="D20" s="1" t="s">
        <v>110</v>
      </c>
      <c r="E20" s="58"/>
      <c r="F20" s="1" t="s">
        <v>111</v>
      </c>
      <c r="G20" s="2" t="s">
        <v>112</v>
      </c>
      <c r="H20" s="1" t="s">
        <v>113</v>
      </c>
      <c r="I20" s="2" t="s">
        <v>114</v>
      </c>
      <c r="J20" s="1" t="s">
        <v>115</v>
      </c>
      <c r="K20" s="1" t="s">
        <v>134</v>
      </c>
      <c r="L20" s="1" t="s">
        <v>164</v>
      </c>
      <c r="M20" s="1" t="s">
        <v>165</v>
      </c>
      <c r="N20" s="1" t="s">
        <v>119</v>
      </c>
      <c r="O20" s="59" t="s">
        <v>166</v>
      </c>
      <c r="P20" s="60" t="str">
        <f>MID(All_PCC_a[[#This Row],[Part Number]],7,3)</f>
        <v>R68</v>
      </c>
      <c r="Q20" s="61">
        <v>0.68</v>
      </c>
      <c r="R20" s="61" t="str">
        <f>IF(All_PCC_a[[#This Row],[Lo (uH)]]&lt;1,"&lt;1",IF(All_PCC_a[[#This Row],[Lo (uH)]]&lt;10,"&lt;10",IF(All_PCC_a[[#This Row],[Lo (uH)]]&lt;100,"&lt;100",IF(All_PCC_a[[#This Row],[Lo (uH)]]&lt;2000,"&lt;2000",""))))</f>
        <v>&lt;1</v>
      </c>
      <c r="S20" s="61" t="str">
        <f>IFERROR(VLOOKUP(All_PCC_a[[#This Row],[Lo (uH)]],[1]Utility!$D$5:$E$43,2,1),"-")</f>
        <v>≤    0.7</v>
      </c>
      <c r="T20" s="62">
        <v>0.2</v>
      </c>
      <c r="U20" s="63">
        <v>5.2</v>
      </c>
      <c r="V20" s="63">
        <v>5.7200000000000006</v>
      </c>
      <c r="W20" s="61">
        <v>10</v>
      </c>
      <c r="X20" s="61">
        <v>13.2</v>
      </c>
      <c r="Y20" s="61">
        <v>10.8</v>
      </c>
      <c r="Z20" s="64">
        <v>20.2</v>
      </c>
      <c r="AA20" s="61">
        <v>14.25</v>
      </c>
      <c r="AB20" s="1">
        <v>6.4</v>
      </c>
      <c r="AC20" s="1">
        <v>6</v>
      </c>
      <c r="AD20" s="61">
        <v>3</v>
      </c>
      <c r="AE20" s="1">
        <f>ROUND(All_PCC_a[[#This Row],[L (mm)]]*All_PCC_a[[#This Row],[W (mm)]],1)</f>
        <v>38.4</v>
      </c>
      <c r="AF20" s="61" t="str">
        <f>All_PCC_a[[#This Row],[L (mm)]]&amp;"  x  "&amp;All_PCC_a[[#This Row],[W (mm)]]</f>
        <v>6,4  x  6</v>
      </c>
      <c r="AG20" s="65" t="s">
        <v>156</v>
      </c>
      <c r="AH20" s="61" t="str">
        <f>IF(All_PCC_a[[#This Row],[Max Height (mm)]]&lt;=9,"≤ "&amp;ROUNDUP(AD20,0),"≤"&amp;ROUNDUP(AD20,0))</f>
        <v>≤ 3</v>
      </c>
      <c r="AI20" s="1">
        <v>-55</v>
      </c>
      <c r="AJ20" s="1">
        <v>155</v>
      </c>
      <c r="AK20" s="1" t="str">
        <f>All_PCC_a[[#This Row],[Min Temp (deg.C)]]&amp;" to +"&amp;All_PCC_a[[#This Row],[Max Temp (deg.C)]]</f>
        <v>-55 to +155</v>
      </c>
      <c r="AL20" s="1"/>
      <c r="AO20" s="61" t="s">
        <v>122</v>
      </c>
      <c r="AP20" s="61" t="str">
        <f t="shared" si="6"/>
        <v>-</v>
      </c>
      <c r="AQ20" s="61" t="s">
        <v>122</v>
      </c>
      <c r="AR20" s="61" t="s">
        <v>122</v>
      </c>
      <c r="AS20" s="1" t="s">
        <v>167</v>
      </c>
      <c r="AT20" s="1" t="s">
        <v>140</v>
      </c>
      <c r="AU20" s="1" t="e" vm="1">
        <f ca="1">_xlfn.IMAGE(All_PCC_a[[#This Row],[Image URL]])</f>
        <v>#NAME?</v>
      </c>
      <c r="AW20" s="1"/>
      <c r="AY20" s="1"/>
      <c r="AZ20" s="1" t="str">
        <f>IF(AY20=1,COUNTIF($AY$11:AY20,1),"")</f>
        <v/>
      </c>
      <c r="BC20" s="1">
        <f>IF(Z20&lt;('[1]DCDC Ref'!$J$24/'[1]DCDC Ref'!$J$26)*'[1]DCDC Ref'!$J$28/100,0,1)</f>
        <v>1</v>
      </c>
      <c r="BD20" s="66">
        <f>IF(BC20=1000000000,"",('All Data'!Q20-'[1]DCDC Ref'!$J$30)/'[1]DCDC Ref'!$J$30*100)</f>
        <v>7.6043956043956165</v>
      </c>
      <c r="BE20" s="67">
        <f t="shared" si="3"/>
        <v>7.6043956043956165</v>
      </c>
      <c r="BF20" s="67"/>
      <c r="BG20" s="66"/>
      <c r="BH20" s="68">
        <f t="shared" si="0"/>
        <v>0</v>
      </c>
      <c r="BI20" s="67"/>
      <c r="BJ20" s="1">
        <f>IF(BC20=0,"",('All Data'!Z20-'[1]DCDC Ref'!$J$28*('[1]DCDC Ref'!$J$29/100))/'[1]DCDC Ref'!$J$28*('[1]DCDC Ref'!$J$29/100)*100)</f>
        <v>81.10344827586205</v>
      </c>
      <c r="BK20" s="68">
        <f t="shared" si="1"/>
        <v>81.10344827586205</v>
      </c>
      <c r="BL20" s="68"/>
      <c r="BM20" s="68"/>
      <c r="BN20" s="68"/>
      <c r="BO20" s="68"/>
      <c r="BQ20" s="5">
        <f t="shared" si="4"/>
        <v>38427.495263357392</v>
      </c>
      <c r="BR20" s="5">
        <f>IF(BQ20="","",RANK(BQ20,BQ$11:BQ$9930,1)+COUNTIF(BQ$11:BQ20,BQ20)-1)</f>
        <v>2</v>
      </c>
      <c r="BS20" s="69">
        <f t="shared" si="2"/>
        <v>2</v>
      </c>
      <c r="BT20" s="1" t="str">
        <f>IFERROR(INDEX($O$11:$O$1013,MATCH(ROWS($BS$11:BS20),$BS$11:$BS$1005,0)),"")</f>
        <v>ETQP3MR47KVN</v>
      </c>
      <c r="BU20" s="69" t="str">
        <f t="shared" si="5"/>
        <v>ETQP3MR47KVN</v>
      </c>
    </row>
    <row r="21" spans="1:73" ht="15">
      <c r="A21" s="1">
        <v>81</v>
      </c>
      <c r="B21" s="28" t="s">
        <v>109</v>
      </c>
      <c r="D21" s="1" t="s">
        <v>110</v>
      </c>
      <c r="E21" s="58"/>
      <c r="F21" s="1" t="s">
        <v>111</v>
      </c>
      <c r="G21" s="2" t="s">
        <v>112</v>
      </c>
      <c r="H21" s="1" t="s">
        <v>113</v>
      </c>
      <c r="I21" s="2" t="s">
        <v>114</v>
      </c>
      <c r="J21" s="1" t="s">
        <v>115</v>
      </c>
      <c r="K21" s="1" t="s">
        <v>134</v>
      </c>
      <c r="L21" s="1" t="s">
        <v>168</v>
      </c>
      <c r="M21" s="1" t="s">
        <v>169</v>
      </c>
      <c r="N21" s="1" t="s">
        <v>119</v>
      </c>
      <c r="O21" s="59" t="s">
        <v>170</v>
      </c>
      <c r="P21" s="60" t="str">
        <f>MID(All_PCC_a[[#This Row],[Part Number]],7,3)</f>
        <v>R68</v>
      </c>
      <c r="Q21" s="61">
        <v>0.68</v>
      </c>
      <c r="R21" s="61" t="str">
        <f>IF(All_PCC_a[[#This Row],[Lo (uH)]]&lt;1,"&lt;1",IF(All_PCC_a[[#This Row],[Lo (uH)]]&lt;10,"&lt;10",IF(All_PCC_a[[#This Row],[Lo (uH)]]&lt;100,"&lt;100",IF(All_PCC_a[[#This Row],[Lo (uH)]]&lt;2000,"&lt;2000",""))))</f>
        <v>&lt;1</v>
      </c>
      <c r="S21" s="61" t="str">
        <f>IFERROR(VLOOKUP(All_PCC_a[[#This Row],[Lo (uH)]],[1]Utility!$D$5:$E$43,2,1),"-")</f>
        <v>≤    0.7</v>
      </c>
      <c r="T21" s="62">
        <v>0.2</v>
      </c>
      <c r="U21" s="63">
        <v>2.92</v>
      </c>
      <c r="V21" s="63">
        <v>3.21</v>
      </c>
      <c r="W21" s="61">
        <v>10</v>
      </c>
      <c r="X21" s="61">
        <v>19.5</v>
      </c>
      <c r="Y21" s="61">
        <v>16.600000000000001</v>
      </c>
      <c r="Z21" s="64">
        <v>29</v>
      </c>
      <c r="AA21" s="61">
        <v>20.99</v>
      </c>
      <c r="AB21" s="1">
        <v>8.4</v>
      </c>
      <c r="AC21" s="1">
        <v>8</v>
      </c>
      <c r="AD21" s="61">
        <v>4</v>
      </c>
      <c r="AE21" s="1">
        <f>ROUND(All_PCC_a[[#This Row],[L (mm)]]*All_PCC_a[[#This Row],[W (mm)]],1)</f>
        <v>67.2</v>
      </c>
      <c r="AF21" s="61" t="str">
        <f>All_PCC_a[[#This Row],[L (mm)]]&amp;"  x  "&amp;All_PCC_a[[#This Row],[W (mm)]]</f>
        <v>8,4  x  8</v>
      </c>
      <c r="AG21" s="76" t="s">
        <v>171</v>
      </c>
      <c r="AH21" s="61" t="str">
        <f>IF(All_PCC_a[[#This Row],[Max Height (mm)]]&lt;=9,"≤ "&amp;ROUNDUP(AD21,0),"≤"&amp;ROUNDUP(AD21,0))</f>
        <v>≤ 4</v>
      </c>
      <c r="AI21" s="1">
        <v>-55</v>
      </c>
      <c r="AJ21" s="1">
        <v>155</v>
      </c>
      <c r="AK21" s="1" t="str">
        <f>All_PCC_a[[#This Row],[Min Temp (deg.C)]]&amp;" to +"&amp;All_PCC_a[[#This Row],[Max Temp (deg.C)]]</f>
        <v>-55 to +155</v>
      </c>
      <c r="AL21" s="1"/>
      <c r="AO21" s="61" t="s">
        <v>122</v>
      </c>
      <c r="AP21" s="61" t="str">
        <f t="shared" si="6"/>
        <v>-</v>
      </c>
      <c r="AQ21" s="61" t="s">
        <v>122</v>
      </c>
      <c r="AR21" s="61" t="s">
        <v>122</v>
      </c>
      <c r="AS21" s="1" t="s">
        <v>172</v>
      </c>
      <c r="AT21" s="1" t="s">
        <v>140</v>
      </c>
      <c r="AU21" s="1" t="e" vm="1">
        <f ca="1">_xlfn.IMAGE(All_PCC_a[[#This Row],[Image URL]])</f>
        <v>#NAME?</v>
      </c>
      <c r="AW21" s="1"/>
      <c r="AY21" s="1"/>
      <c r="AZ21" s="1" t="str">
        <f>IF(AY21=1,COUNTIF($AY$11:AY21,1),"")</f>
        <v/>
      </c>
      <c r="BC21" s="1">
        <f>IF(Z21&lt;('[1]DCDC Ref'!$J$24/'[1]DCDC Ref'!$J$26)*'[1]DCDC Ref'!$J$28/100,0,1)</f>
        <v>1</v>
      </c>
      <c r="BD21" s="66">
        <f>IF(BC21=1000000000,"",('All Data'!Q21-'[1]DCDC Ref'!$J$30)/'[1]DCDC Ref'!$J$30*100)</f>
        <v>7.6043956043956165</v>
      </c>
      <c r="BE21" s="67">
        <f t="shared" si="3"/>
        <v>7.6043956043956165</v>
      </c>
      <c r="BF21" s="67"/>
      <c r="BG21" s="66"/>
      <c r="BH21" s="68">
        <f t="shared" si="0"/>
        <v>0</v>
      </c>
      <c r="BI21" s="67"/>
      <c r="BJ21" s="1">
        <f>IF(BC21=0,"",('All Data'!Z21-'[1]DCDC Ref'!$J$28*('[1]DCDC Ref'!$J$29/100))/'[1]DCDC Ref'!$J$28*('[1]DCDC Ref'!$J$29/100)*100)</f>
        <v>160</v>
      </c>
      <c r="BK21" s="68">
        <f t="shared" si="1"/>
        <v>160</v>
      </c>
      <c r="BL21" s="68"/>
      <c r="BM21" s="68"/>
      <c r="BN21" s="68"/>
      <c r="BO21" s="68"/>
      <c r="BQ21" s="5">
        <f t="shared" si="4"/>
        <v>38821.978021978081</v>
      </c>
      <c r="BR21" s="5">
        <f>IF(BQ21="","",RANK(BQ21,BQ$11:BQ$9930,1)+COUNTIF(BQ$11:BQ21,BQ21)-1)</f>
        <v>4</v>
      </c>
      <c r="BS21" s="69">
        <f t="shared" si="2"/>
        <v>4</v>
      </c>
      <c r="BT21" s="1" t="str">
        <f>IFERROR(INDEX($O$11:$O$1013,MATCH(ROWS($BS$11:BS21),$BS$11:$BS$1005,0)),"")</f>
        <v>ETQP4MR47KFM</v>
      </c>
      <c r="BU21" s="69" t="str">
        <f t="shared" si="5"/>
        <v>ETQP4MR47KFM</v>
      </c>
    </row>
    <row r="22" spans="1:73" ht="15">
      <c r="A22" s="1">
        <v>96</v>
      </c>
      <c r="B22" s="28" t="s">
        <v>109</v>
      </c>
      <c r="D22" s="75" t="s">
        <v>110</v>
      </c>
      <c r="E22" s="78"/>
      <c r="F22" s="1" t="s">
        <v>111</v>
      </c>
      <c r="G22" s="79" t="s">
        <v>112</v>
      </c>
      <c r="H22" s="75" t="s">
        <v>113</v>
      </c>
      <c r="I22" s="79" t="s">
        <v>114</v>
      </c>
      <c r="J22" s="75" t="s">
        <v>115</v>
      </c>
      <c r="K22" s="75" t="s">
        <v>173</v>
      </c>
      <c r="L22" s="75" t="s">
        <v>174</v>
      </c>
      <c r="M22" s="75" t="s">
        <v>175</v>
      </c>
      <c r="N22" s="75" t="s">
        <v>119</v>
      </c>
      <c r="O22" s="59" t="s">
        <v>176</v>
      </c>
      <c r="P22" s="60" t="str">
        <f>MID(All_PCC_a[[#This Row],[Part Number]],7,3)</f>
        <v>R68</v>
      </c>
      <c r="Q22" s="80">
        <v>0.68</v>
      </c>
      <c r="R22" s="61" t="str">
        <f>IF(All_PCC_a[[#This Row],[Lo (uH)]]&lt;1,"&lt;1",IF(All_PCC_a[[#This Row],[Lo (uH)]]&lt;10,"&lt;10",IF(All_PCC_a[[#This Row],[Lo (uH)]]&lt;100,"&lt;100",IF(All_PCC_a[[#This Row],[Lo (uH)]]&lt;2000,"&lt;2000",""))))</f>
        <v>&lt;1</v>
      </c>
      <c r="S22" s="61" t="str">
        <f>IFERROR(VLOOKUP(All_PCC_a[[#This Row],[Lo (uH)]],[1]Utility!$D$5:$E$43,2,1),"-")</f>
        <v>≤    0.7</v>
      </c>
      <c r="T22" s="72">
        <v>0.2</v>
      </c>
      <c r="U22" s="81">
        <v>1.66</v>
      </c>
      <c r="V22" s="81">
        <v>1.83</v>
      </c>
      <c r="W22" s="80">
        <v>10</v>
      </c>
      <c r="X22" s="80">
        <v>32.299999999999997</v>
      </c>
      <c r="Y22" s="82">
        <v>27</v>
      </c>
      <c r="Z22" s="83">
        <v>40</v>
      </c>
      <c r="AA22" s="61">
        <v>28.1</v>
      </c>
      <c r="AB22" s="75">
        <v>10.9</v>
      </c>
      <c r="AC22" s="75">
        <v>10</v>
      </c>
      <c r="AD22" s="80">
        <v>5</v>
      </c>
      <c r="AE22" s="75">
        <f>ROUND(All_PCC_a[[#This Row],[L (mm)]]*All_PCC_a[[#This Row],[W (mm)]],1)</f>
        <v>109</v>
      </c>
      <c r="AF22" s="61" t="str">
        <f>All_PCC_a[[#This Row],[L (mm)]]&amp;"  x  "&amp;All_PCC_a[[#This Row],[W (mm)]]</f>
        <v>10,9  x  10</v>
      </c>
      <c r="AG22" s="74" t="s">
        <v>121</v>
      </c>
      <c r="AH22" s="61" t="str">
        <f>IF(All_PCC_a[[#This Row],[Max Height (mm)]]&lt;=9,"≤ "&amp;ROUNDUP(AD22,0),"≤"&amp;ROUNDUP(AD22,0))</f>
        <v>≤ 5</v>
      </c>
      <c r="AI22" s="75">
        <v>-40</v>
      </c>
      <c r="AJ22" s="75">
        <v>150</v>
      </c>
      <c r="AK22" s="1" t="str">
        <f>All_PCC_a[[#This Row],[Min Temp (deg.C)]]&amp;" to +"&amp;All_PCC_a[[#This Row],[Max Temp (deg.C)]]</f>
        <v>-40 to +150</v>
      </c>
      <c r="AL22" s="75"/>
      <c r="AM22" s="84"/>
      <c r="AN22" s="75"/>
      <c r="AO22" s="80" t="s">
        <v>122</v>
      </c>
      <c r="AP22" s="80" t="str">
        <f t="shared" si="6"/>
        <v>-</v>
      </c>
      <c r="AQ22" s="80" t="s">
        <v>122</v>
      </c>
      <c r="AR22" s="61" t="s">
        <v>122</v>
      </c>
      <c r="AS22" s="1" t="s">
        <v>177</v>
      </c>
      <c r="AT22" s="75" t="s">
        <v>178</v>
      </c>
      <c r="AU22" s="1" t="e" vm="1">
        <f ca="1">_xlfn.IMAGE(All_PCC_a[[#This Row],[Image URL]])</f>
        <v>#NAME?</v>
      </c>
      <c r="AV22" s="75"/>
      <c r="AW22" s="75"/>
      <c r="AY22" s="1"/>
      <c r="AZ22" s="1" t="str">
        <f>IF(AY22=1,COUNTIF($AY$11:AY22,1),"")</f>
        <v/>
      </c>
      <c r="BC22" s="1">
        <f>IF(Z22&lt;('[1]DCDC Ref'!$J$24/'[1]DCDC Ref'!$J$26)*'[1]DCDC Ref'!$J$28/100,0,1)</f>
        <v>1</v>
      </c>
      <c r="BD22" s="66">
        <f>IF(BC22=1000000000,"",('All Data'!Q22-'[1]DCDC Ref'!$J$30)/'[1]DCDC Ref'!$J$30*100)</f>
        <v>7.6043956043956165</v>
      </c>
      <c r="BE22" s="67">
        <f t="shared" si="3"/>
        <v>7.6043956043956165</v>
      </c>
      <c r="BF22" s="67"/>
      <c r="BG22" s="66"/>
      <c r="BH22" s="68">
        <f t="shared" si="0"/>
        <v>0</v>
      </c>
      <c r="BI22" s="67"/>
      <c r="BJ22" s="1">
        <f>IF(BC22=0,"",('All Data'!Z22-'[1]DCDC Ref'!$J$28*('[1]DCDC Ref'!$J$29/100))/'[1]DCDC Ref'!$J$28*('[1]DCDC Ref'!$J$29/100)*100)</f>
        <v>258.62068965517238</v>
      </c>
      <c r="BK22" s="68">
        <f t="shared" si="1"/>
        <v>258.62068965517238</v>
      </c>
      <c r="BL22" s="68"/>
      <c r="BM22" s="68"/>
      <c r="BN22" s="68"/>
      <c r="BO22" s="68"/>
      <c r="BQ22" s="5">
        <f t="shared" si="4"/>
        <v>39315.081470253943</v>
      </c>
      <c r="BR22" s="5">
        <f>IF(BQ22="","",RANK(BQ22,BQ$11:BQ$9930,1)+COUNTIF(BQ$11:BQ22,BQ22)-1)</f>
        <v>6</v>
      </c>
      <c r="BS22" s="69">
        <f t="shared" si="2"/>
        <v>6</v>
      </c>
      <c r="BT22" s="1" t="str">
        <f>IFERROR(INDEX($O$11:$O$1013,MATCH(ROWS($BS$11:BS22),$BS$11:$BS$1005,0)),"")</f>
        <v>ETQP4MR47KVK</v>
      </c>
      <c r="BU22" s="69" t="str">
        <f t="shared" si="5"/>
        <v>ETQP4MR47KVK</v>
      </c>
    </row>
    <row r="23" spans="1:73">
      <c r="A23" s="1">
        <v>2</v>
      </c>
      <c r="B23" s="28" t="s">
        <v>109</v>
      </c>
      <c r="D23" s="1" t="s">
        <v>110</v>
      </c>
      <c r="E23" s="58"/>
      <c r="F23" s="1" t="s">
        <v>111</v>
      </c>
      <c r="G23" s="2" t="s">
        <v>112</v>
      </c>
      <c r="H23" s="1" t="s">
        <v>113</v>
      </c>
      <c r="I23" s="2" t="s">
        <v>114</v>
      </c>
      <c r="J23" s="1" t="s">
        <v>115</v>
      </c>
      <c r="K23" s="1" t="s">
        <v>116</v>
      </c>
      <c r="L23" s="1" t="s">
        <v>152</v>
      </c>
      <c r="M23" s="1" t="s">
        <v>153</v>
      </c>
      <c r="N23" s="1" t="s">
        <v>154</v>
      </c>
      <c r="O23" s="59" t="s">
        <v>179</v>
      </c>
      <c r="P23" s="60" t="str">
        <f>MID(All_PCC_a[[#This Row],[Part Number]],7,3)</f>
        <v>1R0</v>
      </c>
      <c r="Q23" s="85">
        <v>1</v>
      </c>
      <c r="R23" s="61" t="str">
        <f>IF(All_PCC_a[[#This Row],[Lo (uH)]]&lt;1,"&lt;1",IF(All_PCC_a[[#This Row],[Lo (uH)]]&lt;10,"&lt;10",IF(All_PCC_a[[#This Row],[Lo (uH)]]&lt;100,"&lt;100",IF(All_PCC_a[[#This Row],[Lo (uH)]]&lt;2000,"&lt;2000",""))))</f>
        <v>&lt;10</v>
      </c>
      <c r="S23" s="61" t="str">
        <f>IFERROR(VLOOKUP(All_PCC_a[[#This Row],[Lo (uH)]],[1]Utility!$D$5:$E$43,2,1),"-")</f>
        <v>≤   1</v>
      </c>
      <c r="T23" s="62">
        <v>0.2</v>
      </c>
      <c r="U23" s="70">
        <v>7.9</v>
      </c>
      <c r="V23" s="70">
        <v>8.6900000000000013</v>
      </c>
      <c r="W23" s="61">
        <v>10</v>
      </c>
      <c r="X23" s="61">
        <v>10.7</v>
      </c>
      <c r="Y23" s="61">
        <v>8.8000000000000007</v>
      </c>
      <c r="Z23" s="64">
        <v>20</v>
      </c>
      <c r="AA23" s="61">
        <v>14.47</v>
      </c>
      <c r="AB23" s="1">
        <v>6.5</v>
      </c>
      <c r="AC23" s="1">
        <v>6</v>
      </c>
      <c r="AD23" s="61">
        <v>3</v>
      </c>
      <c r="AE23" s="1">
        <f>ROUND(All_PCC_a[[#This Row],[L (mm)]]*All_PCC_a[[#This Row],[W (mm)]],1)</f>
        <v>39</v>
      </c>
      <c r="AF23" s="61" t="str">
        <f>All_PCC_a[[#This Row],[L (mm)]]&amp;"  x  "&amp;All_PCC_a[[#This Row],[W (mm)]]</f>
        <v>6,5  x  6</v>
      </c>
      <c r="AG23" s="76" t="s">
        <v>156</v>
      </c>
      <c r="AH23" s="61" t="str">
        <f>IF(All_PCC_a[[#This Row],[Max Height (mm)]]&lt;=9,"≤ "&amp;ROUNDUP(AD23,0),"≤"&amp;ROUNDUP(AD23,0))</f>
        <v>≤ 3</v>
      </c>
      <c r="AI23" s="11">
        <v>-40</v>
      </c>
      <c r="AJ23" s="11">
        <v>150</v>
      </c>
      <c r="AK23" s="1" t="str">
        <f>All_PCC_a[[#This Row],[Min Temp (deg.C)]]&amp;" to +"&amp;All_PCC_a[[#This Row],[Max Temp (deg.C)]]</f>
        <v>-40 to +150</v>
      </c>
      <c r="AL23" s="1"/>
      <c r="AO23" s="61" t="s">
        <v>144</v>
      </c>
      <c r="AP23" s="61" t="str">
        <f t="shared" si="6"/>
        <v>-</v>
      </c>
      <c r="AQ23" s="62" t="s">
        <v>122</v>
      </c>
      <c r="AR23" s="61" t="s">
        <v>122</v>
      </c>
      <c r="AS23" s="1" t="s">
        <v>180</v>
      </c>
      <c r="AT23" s="1" t="s">
        <v>124</v>
      </c>
      <c r="AU23" s="1" t="e" vm="1">
        <f ca="1">_xlfn.IMAGE(All_PCC_a[[#This Row],[Image URL]])</f>
        <v>#NAME?</v>
      </c>
      <c r="AW23" s="1"/>
      <c r="AY23" s="1"/>
      <c r="AZ23" s="1" t="str">
        <f>IF(AY23=1,COUNTIF($AY$11:AY23,1),"")</f>
        <v/>
      </c>
      <c r="BC23" s="1">
        <f>IF(Z23&lt;('[1]DCDC Ref'!$J$24/'[1]DCDC Ref'!$J$26)*'[1]DCDC Ref'!$J$28/100,0,1)</f>
        <v>1</v>
      </c>
      <c r="BD23" s="66">
        <f>IF(BC23=1000000000,"",('All Data'!Q23-'[1]DCDC Ref'!$J$30)/'[1]DCDC Ref'!$J$30*100)</f>
        <v>58.241758241758248</v>
      </c>
      <c r="BE23" s="67">
        <f t="shared" si="3"/>
        <v>58.241758241758248</v>
      </c>
      <c r="BF23" s="67"/>
      <c r="BG23" s="66"/>
      <c r="BH23" s="68">
        <f t="shared" si="0"/>
        <v>0</v>
      </c>
      <c r="BI23" s="67"/>
      <c r="BJ23" s="1">
        <f>IF(BC23=0,"",('All Data'!Z23-'[1]DCDC Ref'!$J$28*('[1]DCDC Ref'!$J$29/100))/'[1]DCDC Ref'!$J$28*('[1]DCDC Ref'!$J$29/100)*100)</f>
        <v>79.310344827586192</v>
      </c>
      <c r="BK23" s="68">
        <f t="shared" si="1"/>
        <v>79.310344827586192</v>
      </c>
      <c r="BL23" s="68"/>
      <c r="BM23" s="68"/>
      <c r="BN23" s="68"/>
      <c r="BO23" s="68"/>
      <c r="BQ23" s="5">
        <f t="shared" si="4"/>
        <v>291605.34293292917</v>
      </c>
      <c r="BR23" s="5">
        <f>IF(BQ23="","",RANK(BQ23,BQ$11:BQ$9930,1)+COUNTIF(BQ$11:BQ23,BQ23)-1)</f>
        <v>21</v>
      </c>
      <c r="BS23" s="69">
        <f t="shared" si="2"/>
        <v>21</v>
      </c>
      <c r="BT23" s="1" t="str">
        <f>IFERROR(INDEX($O$11:$O$1013,MATCH(ROWS($BS$11:BS23),$BS$11:$BS$1005,0)),"")</f>
        <v>ETQP4MR47KLC</v>
      </c>
      <c r="BU23" s="69" t="str">
        <f t="shared" si="5"/>
        <v>ETQP4MR47KLC</v>
      </c>
    </row>
    <row r="24" spans="1:73" ht="15">
      <c r="A24" s="1">
        <v>39</v>
      </c>
      <c r="B24" s="28" t="s">
        <v>109</v>
      </c>
      <c r="D24" s="1" t="s">
        <v>110</v>
      </c>
      <c r="E24" s="58"/>
      <c r="F24" s="1" t="s">
        <v>111</v>
      </c>
      <c r="G24" s="2" t="s">
        <v>112</v>
      </c>
      <c r="H24" s="1" t="s">
        <v>113</v>
      </c>
      <c r="I24" s="2" t="s">
        <v>114</v>
      </c>
      <c r="J24" s="1" t="s">
        <v>115</v>
      </c>
      <c r="K24" s="1" t="s">
        <v>116</v>
      </c>
      <c r="L24" s="1" t="s">
        <v>117</v>
      </c>
      <c r="M24" s="1" t="s">
        <v>118</v>
      </c>
      <c r="N24" s="1" t="s">
        <v>154</v>
      </c>
      <c r="O24" s="59" t="s">
        <v>181</v>
      </c>
      <c r="P24" s="60" t="str">
        <f>MID(All_PCC_a[[#This Row],[Part Number]],7,3)</f>
        <v>1R0</v>
      </c>
      <c r="Q24" s="85">
        <v>1</v>
      </c>
      <c r="R24" s="61" t="str">
        <f>IF(All_PCC_a[[#This Row],[Lo (uH)]]&lt;1,"&lt;1",IF(All_PCC_a[[#This Row],[Lo (uH)]]&lt;10,"&lt;10",IF(All_PCC_a[[#This Row],[Lo (uH)]]&lt;100,"&lt;100",IF(All_PCC_a[[#This Row],[Lo (uH)]]&lt;2000,"&lt;2000",""))))</f>
        <v>&lt;10</v>
      </c>
      <c r="S24" s="61" t="str">
        <f>IFERROR(VLOOKUP(All_PCC_a[[#This Row],[Lo (uH)]],[1]Utility!$D$5:$E$43,2,1),"-")</f>
        <v>≤   1</v>
      </c>
      <c r="T24" s="62">
        <v>0.2</v>
      </c>
      <c r="U24" s="63">
        <v>2.2999999999999998</v>
      </c>
      <c r="V24" s="63">
        <v>2.5299999999999998</v>
      </c>
      <c r="W24" s="61">
        <v>10</v>
      </c>
      <c r="X24" s="61">
        <v>27.5</v>
      </c>
      <c r="Y24" s="61">
        <v>23</v>
      </c>
      <c r="Z24" s="64">
        <v>37.799999999999997</v>
      </c>
      <c r="AA24" s="61">
        <v>24.6</v>
      </c>
      <c r="AB24" s="1">
        <v>10.9</v>
      </c>
      <c r="AC24" s="1">
        <v>10</v>
      </c>
      <c r="AD24" s="61">
        <v>5</v>
      </c>
      <c r="AE24" s="1">
        <f>ROUND(All_PCC_a[[#This Row],[L (mm)]]*All_PCC_a[[#This Row],[W (mm)]],1)</f>
        <v>109</v>
      </c>
      <c r="AF24" s="61" t="str">
        <f>All_PCC_a[[#This Row],[L (mm)]]&amp;"  x  "&amp;All_PCC_a[[#This Row],[W (mm)]]</f>
        <v>10,9  x  10</v>
      </c>
      <c r="AG24" s="76" t="s">
        <v>121</v>
      </c>
      <c r="AH24" s="61" t="str">
        <f>IF(All_PCC_a[[#This Row],[Max Height (mm)]]&lt;=9,"≤ "&amp;ROUNDUP(AD24,0),"≤"&amp;ROUNDUP(AD24,0))</f>
        <v>≤ 5</v>
      </c>
      <c r="AI24" s="11">
        <v>-40</v>
      </c>
      <c r="AJ24" s="11">
        <v>150</v>
      </c>
      <c r="AK24" s="1" t="str">
        <f>All_PCC_a[[#This Row],[Min Temp (deg.C)]]&amp;" to +"&amp;All_PCC_a[[#This Row],[Max Temp (deg.C)]]</f>
        <v>-40 to +150</v>
      </c>
      <c r="AL24" s="1"/>
      <c r="AO24" s="61" t="s">
        <v>144</v>
      </c>
      <c r="AP24" s="61" t="str">
        <f t="shared" si="6"/>
        <v>-</v>
      </c>
      <c r="AQ24" s="62" t="s">
        <v>122</v>
      </c>
      <c r="AR24" s="61" t="s">
        <v>122</v>
      </c>
      <c r="AS24" s="1" t="s">
        <v>182</v>
      </c>
      <c r="AT24" s="1" t="s">
        <v>124</v>
      </c>
      <c r="AU24" s="1" t="e" vm="1">
        <f ca="1">_xlfn.IMAGE(All_PCC_a[[#This Row],[Image URL]])</f>
        <v>#NAME?</v>
      </c>
      <c r="AW24" s="1"/>
      <c r="AY24" s="1"/>
      <c r="BC24" s="1">
        <f>IF(Z24&lt;('[1]DCDC Ref'!$J$24/'[1]DCDC Ref'!$J$26)*'[1]DCDC Ref'!$J$28/100,0,1)</f>
        <v>1</v>
      </c>
      <c r="BD24" s="66">
        <f>IF(BC24=1000000000,"",('All Data'!Q24-'[1]DCDC Ref'!$J$30)/'[1]DCDC Ref'!$J$30*100)</f>
        <v>58.241758241758248</v>
      </c>
      <c r="BE24" s="67">
        <f t="shared" si="3"/>
        <v>58.241758241758248</v>
      </c>
      <c r="BF24" s="67"/>
      <c r="BG24" s="66"/>
      <c r="BH24" s="68">
        <f t="shared" si="0"/>
        <v>0</v>
      </c>
      <c r="BI24" s="67"/>
      <c r="BJ24" s="1">
        <f>IF(BC24=0,"",('All Data'!Z24-'[1]DCDC Ref'!$J$28*('[1]DCDC Ref'!$J$29/100))/'[1]DCDC Ref'!$J$28*('[1]DCDC Ref'!$J$29/100)*100)</f>
        <v>238.89655172413788</v>
      </c>
      <c r="BK24" s="68">
        <f t="shared" si="1"/>
        <v>238.89655172413788</v>
      </c>
      <c r="BL24" s="68"/>
      <c r="BM24" s="68"/>
      <c r="BN24" s="68"/>
      <c r="BO24" s="68"/>
      <c r="BQ24" s="5">
        <f t="shared" si="4"/>
        <v>292403.27396741195</v>
      </c>
      <c r="BR24" s="5">
        <f>IF(BQ24="","",RANK(BQ24,BQ$11:BQ$9930,1)+COUNTIF(BQ$11:BQ24,BQ24)-1)</f>
        <v>24</v>
      </c>
      <c r="BS24" s="69">
        <f t="shared" si="2"/>
        <v>24</v>
      </c>
      <c r="BT24" s="1" t="str">
        <f>IFERROR(INDEX($O$11:$O$1013,MATCH(ROWS($BS$11:BS24),$BS$11:$BS$1005,0)),"")</f>
        <v>ETQP3MR33KVP</v>
      </c>
      <c r="BU24" s="69" t="str">
        <f t="shared" si="5"/>
        <v>ETQP3MR33KVP</v>
      </c>
    </row>
    <row r="25" spans="1:73" ht="15">
      <c r="A25" s="1">
        <v>47</v>
      </c>
      <c r="B25" s="28" t="s">
        <v>109</v>
      </c>
      <c r="D25" s="1" t="s">
        <v>110</v>
      </c>
      <c r="E25" s="58"/>
      <c r="F25" s="1" t="s">
        <v>111</v>
      </c>
      <c r="G25" s="2" t="s">
        <v>112</v>
      </c>
      <c r="H25" s="1" t="s">
        <v>113</v>
      </c>
      <c r="I25" s="2" t="s">
        <v>114</v>
      </c>
      <c r="J25" s="1" t="s">
        <v>115</v>
      </c>
      <c r="K25" s="1" t="s">
        <v>126</v>
      </c>
      <c r="L25" s="1" t="s">
        <v>127</v>
      </c>
      <c r="M25" s="1" t="s">
        <v>128</v>
      </c>
      <c r="N25" s="1" t="s">
        <v>119</v>
      </c>
      <c r="O25" s="59" t="s">
        <v>183</v>
      </c>
      <c r="P25" s="60" t="str">
        <f>MID(All_PCC_a[[#This Row],[Part Number]],7,3)</f>
        <v>1R0</v>
      </c>
      <c r="Q25" s="61">
        <v>1</v>
      </c>
      <c r="R25" s="61" t="str">
        <f>IF(All_PCC_a[[#This Row],[Lo (uH)]]&lt;1,"&lt;1",IF(All_PCC_a[[#This Row],[Lo (uH)]]&lt;10,"&lt;10",IF(All_PCC_a[[#This Row],[Lo (uH)]]&lt;100,"&lt;100",IF(All_PCC_a[[#This Row],[Lo (uH)]]&lt;2000,"&lt;2000",""))))</f>
        <v>&lt;10</v>
      </c>
      <c r="S25" s="61" t="str">
        <f>IFERROR(VLOOKUP(All_PCC_a[[#This Row],[Lo (uH)]],[1]Utility!$D$5:$E$43,2,1),"-")</f>
        <v>≤   1</v>
      </c>
      <c r="T25" s="62">
        <v>0.2</v>
      </c>
      <c r="U25" s="63">
        <v>1.36</v>
      </c>
      <c r="V25" s="63">
        <v>1.5</v>
      </c>
      <c r="W25" s="61">
        <v>10</v>
      </c>
      <c r="X25" s="61">
        <v>38.299999999999997</v>
      </c>
      <c r="Y25" s="61">
        <v>31.8</v>
      </c>
      <c r="Z25" s="64">
        <v>44.4</v>
      </c>
      <c r="AA25" s="61">
        <f>ROUND(31.5641025641026,2)</f>
        <v>31.56</v>
      </c>
      <c r="AB25" s="1">
        <v>12.6</v>
      </c>
      <c r="AC25" s="1">
        <v>13.2</v>
      </c>
      <c r="AD25" s="61">
        <v>8</v>
      </c>
      <c r="AE25" s="1">
        <f>ROUND(All_PCC_a[[#This Row],[L (mm)]]*All_PCC_a[[#This Row],[W (mm)]],1)</f>
        <v>166.3</v>
      </c>
      <c r="AF25" s="61" t="str">
        <f>All_PCC_a[[#This Row],[L (mm)]]&amp;"  x  "&amp;All_PCC_a[[#This Row],[W (mm)]]</f>
        <v>12,6  x  13,2</v>
      </c>
      <c r="AG25" s="65" t="s">
        <v>130</v>
      </c>
      <c r="AH25" s="61" t="str">
        <f>IF(All_PCC_a[[#This Row],[Max Height (mm)]]&lt;=9,"≤ "&amp;ROUNDUP(AD25,0),"≤"&amp;ROUNDUP(AD25,0))</f>
        <v>≤ 8</v>
      </c>
      <c r="AI25" s="1">
        <v>-40</v>
      </c>
      <c r="AJ25" s="1">
        <v>160</v>
      </c>
      <c r="AK25" s="1" t="str">
        <f>All_PCC_a[[#This Row],[Min Temp (deg.C)]]&amp;" to +"&amp;All_PCC_a[[#This Row],[Max Temp (deg.C)]]</f>
        <v>-40 to +160</v>
      </c>
      <c r="AL25" s="1"/>
      <c r="AN25" s="1" t="s">
        <v>131</v>
      </c>
      <c r="AO25" s="61" t="s">
        <v>122</v>
      </c>
      <c r="AP25" s="61" t="str">
        <f t="shared" si="6"/>
        <v>-</v>
      </c>
      <c r="AQ25" s="61" t="s">
        <v>122</v>
      </c>
      <c r="AR25" s="61" t="s">
        <v>122</v>
      </c>
      <c r="AS25" s="1" t="s">
        <v>184</v>
      </c>
      <c r="AT25" s="1" t="s">
        <v>133</v>
      </c>
      <c r="AU25" s="1" t="e" vm="1">
        <f ca="1">_xlfn.IMAGE(All_PCC_a[[#This Row],[Image URL]])</f>
        <v>#NAME?</v>
      </c>
      <c r="AW25" s="1"/>
      <c r="AY25" s="1"/>
      <c r="AZ25" s="1" t="str">
        <f>IF(AY25=1,COUNTIF($AY$11:AY25,1),"")</f>
        <v/>
      </c>
      <c r="BC25" s="1">
        <f>IF(Z25&lt;('[1]DCDC Ref'!$J$24/'[1]DCDC Ref'!$J$26)*'[1]DCDC Ref'!$J$28/100,0,1)</f>
        <v>1</v>
      </c>
      <c r="BD25" s="66">
        <f>IF(BC25=1000000000,"",('All Data'!Q25-'[1]DCDC Ref'!$J$30)/'[1]DCDC Ref'!$J$30*100)</f>
        <v>58.241758241758248</v>
      </c>
      <c r="BE25" s="67">
        <f t="shared" si="3"/>
        <v>58.241758241758248</v>
      </c>
      <c r="BF25" s="67"/>
      <c r="BG25" s="66"/>
      <c r="BH25" s="68">
        <f t="shared" si="0"/>
        <v>0</v>
      </c>
      <c r="BI25" s="67"/>
      <c r="BJ25" s="1">
        <f>IF(BC25=0,"",('All Data'!Z25-'[1]DCDC Ref'!$J$28*('[1]DCDC Ref'!$J$29/100))/'[1]DCDC Ref'!$J$28*('[1]DCDC Ref'!$J$29/100)*100)</f>
        <v>298.06896551724134</v>
      </c>
      <c r="BK25" s="68">
        <f t="shared" si="1"/>
        <v>298.06896551724134</v>
      </c>
      <c r="BL25" s="68"/>
      <c r="BM25" s="68"/>
      <c r="BN25" s="68"/>
      <c r="BO25" s="68"/>
      <c r="BQ25" s="5">
        <f t="shared" si="4"/>
        <v>292699.13603637746</v>
      </c>
      <c r="BR25" s="5">
        <f>IF(BQ25="","",RANK(BQ25,BQ$11:BQ$9930,1)+COUNTIF(BQ$11:BQ25,BQ25)-1)</f>
        <v>25</v>
      </c>
      <c r="BS25" s="69">
        <f t="shared" si="2"/>
        <v>25</v>
      </c>
      <c r="BT25" s="1" t="str">
        <f>IFERROR(INDEX($O$11:$O$1013,MATCH(ROWS($BS$11:BS25),$BS$11:$BS$1005,0)),"")</f>
        <v>ETQP4MR33KLC</v>
      </c>
      <c r="BU25" s="69" t="str">
        <f t="shared" si="5"/>
        <v>ETQP4MR33KLC</v>
      </c>
    </row>
    <row r="26" spans="1:73" ht="15">
      <c r="A26" s="1">
        <v>58</v>
      </c>
      <c r="B26" s="28" t="s">
        <v>109</v>
      </c>
      <c r="D26" s="1" t="s">
        <v>110</v>
      </c>
      <c r="E26" s="58"/>
      <c r="F26" s="1" t="s">
        <v>111</v>
      </c>
      <c r="G26" s="2" t="s">
        <v>112</v>
      </c>
      <c r="H26" s="1" t="s">
        <v>113</v>
      </c>
      <c r="I26" s="2" t="s">
        <v>114</v>
      </c>
      <c r="J26" s="1" t="s">
        <v>115</v>
      </c>
      <c r="K26" s="1" t="s">
        <v>134</v>
      </c>
      <c r="L26" s="1" t="s">
        <v>135</v>
      </c>
      <c r="M26" s="1" t="s">
        <v>136</v>
      </c>
      <c r="N26" s="1" t="s">
        <v>119</v>
      </c>
      <c r="O26" s="59" t="s">
        <v>185</v>
      </c>
      <c r="P26" s="60" t="str">
        <f>MID(All_PCC_a[[#This Row],[Part Number]],7,3)</f>
        <v>1R0</v>
      </c>
      <c r="Q26" s="61">
        <v>1</v>
      </c>
      <c r="R26" s="61" t="str">
        <f>IF(All_PCC_a[[#This Row],[Lo (uH)]]&lt;1,"&lt;1",IF(All_PCC_a[[#This Row],[Lo (uH)]]&lt;10,"&lt;10",IF(All_PCC_a[[#This Row],[Lo (uH)]]&lt;100,"&lt;100",IF(All_PCC_a[[#This Row],[Lo (uH)]]&lt;2000,"&lt;2000",""))))</f>
        <v>&lt;10</v>
      </c>
      <c r="S26" s="61" t="str">
        <f>IFERROR(VLOOKUP(All_PCC_a[[#This Row],[Lo (uH)]],[1]Utility!$D$5:$E$43,2,1),"-")</f>
        <v>≤   1</v>
      </c>
      <c r="T26" s="62">
        <v>0.2</v>
      </c>
      <c r="U26" s="63">
        <v>9.6</v>
      </c>
      <c r="V26" s="63">
        <v>10.56</v>
      </c>
      <c r="W26" s="61">
        <v>10</v>
      </c>
      <c r="X26" s="61">
        <v>9</v>
      </c>
      <c r="Y26" s="61">
        <v>7.5</v>
      </c>
      <c r="Z26" s="64">
        <v>14.1</v>
      </c>
      <c r="AA26" s="77">
        <v>10.4</v>
      </c>
      <c r="AB26" s="1">
        <v>5.5</v>
      </c>
      <c r="AC26" s="1">
        <v>5</v>
      </c>
      <c r="AD26" s="61">
        <v>3</v>
      </c>
      <c r="AE26" s="1">
        <f>ROUND(All_PCC_a[[#This Row],[L (mm)]]*All_PCC_a[[#This Row],[W (mm)]],1)</f>
        <v>27.5</v>
      </c>
      <c r="AF26" s="61" t="str">
        <f>All_PCC_a[[#This Row],[L (mm)]]&amp;"  x  "&amp;All_PCC_a[[#This Row],[W (mm)]]</f>
        <v>5,5  x  5</v>
      </c>
      <c r="AG26" s="65" t="s">
        <v>138</v>
      </c>
      <c r="AH26" s="61" t="str">
        <f>IF(All_PCC_a[[#This Row],[Max Height (mm)]]&lt;=9,"≤ "&amp;ROUNDUP(AD26,0),"≤"&amp;ROUNDUP(AD26,0))</f>
        <v>≤ 3</v>
      </c>
      <c r="AI26" s="1">
        <v>-55</v>
      </c>
      <c r="AJ26" s="1">
        <v>155</v>
      </c>
      <c r="AK26" s="1" t="str">
        <f>All_PCC_a[[#This Row],[Min Temp (deg.C)]]&amp;" to +"&amp;All_PCC_a[[#This Row],[Max Temp (deg.C)]]</f>
        <v>-55 to +155</v>
      </c>
      <c r="AL26" s="1"/>
      <c r="AO26" s="61" t="s">
        <v>122</v>
      </c>
      <c r="AP26" s="61" t="str">
        <f t="shared" si="6"/>
        <v>-</v>
      </c>
      <c r="AQ26" s="61" t="s">
        <v>122</v>
      </c>
      <c r="AR26" s="61" t="s">
        <v>122</v>
      </c>
      <c r="AS26" s="1" t="s">
        <v>186</v>
      </c>
      <c r="AT26" s="1" t="s">
        <v>140</v>
      </c>
      <c r="AU26" s="1" t="e" vm="1">
        <f ca="1">_xlfn.IMAGE(All_PCC_a[[#This Row],[Image URL]])</f>
        <v>#NAME?</v>
      </c>
      <c r="AW26" s="1"/>
      <c r="AY26" s="1"/>
      <c r="AZ26" s="1" t="str">
        <f>IF(AY26=1,COUNTIF($AY$11:AY26,1),"")</f>
        <v/>
      </c>
      <c r="BC26" s="1">
        <f>IF(Z26&lt;('[1]DCDC Ref'!$J$24/'[1]DCDC Ref'!$J$26)*'[1]DCDC Ref'!$J$28/100,0,1)</f>
        <v>1</v>
      </c>
      <c r="BD26" s="66">
        <f>IF(BC26=1000000000,"",('All Data'!Q26-'[1]DCDC Ref'!$J$30)/'[1]DCDC Ref'!$J$30*100)</f>
        <v>58.241758241758248</v>
      </c>
      <c r="BE26" s="67">
        <f t="shared" si="3"/>
        <v>58.241758241758248</v>
      </c>
      <c r="BF26" s="67"/>
      <c r="BG26" s="66"/>
      <c r="BH26" s="68">
        <f t="shared" si="0"/>
        <v>0</v>
      </c>
      <c r="BI26" s="67"/>
      <c r="BJ26" s="1">
        <f>IF(BC26=0,"",('All Data'!Z26-'[1]DCDC Ref'!$J$28*('[1]DCDC Ref'!$J$29/100))/'[1]DCDC Ref'!$J$28*('[1]DCDC Ref'!$J$29/100)*100)</f>
        <v>26.413793103448256</v>
      </c>
      <c r="BK26" s="68">
        <f t="shared" si="1"/>
        <v>26.413793103448256</v>
      </c>
      <c r="BL26" s="68"/>
      <c r="BM26" s="68"/>
      <c r="BN26" s="68"/>
      <c r="BO26" s="68"/>
      <c r="BQ26" s="5">
        <f t="shared" si="4"/>
        <v>291340.86017430847</v>
      </c>
      <c r="BR26" s="5">
        <f>IF(BQ26="","",RANK(BQ26,BQ$11:BQ$9930,1)+COUNTIF(BQ$11:BQ26,BQ26)-1)</f>
        <v>19</v>
      </c>
      <c r="BS26" s="69">
        <f t="shared" si="2"/>
        <v>19</v>
      </c>
      <c r="BT26" s="1" t="str">
        <f>IFERROR(INDEX($O$11:$O$1013,MATCH(ROWS($BS$11:BS26),$BS$11:$BS$1005,0)),"")</f>
        <v>ETQP5MR33YLC</v>
      </c>
      <c r="BU26" s="69" t="str">
        <f t="shared" si="5"/>
        <v>ETQP5MR33YLC</v>
      </c>
    </row>
    <row r="27" spans="1:73" ht="15">
      <c r="A27" s="1">
        <v>69</v>
      </c>
      <c r="B27" s="28" t="s">
        <v>109</v>
      </c>
      <c r="D27" s="1" t="s">
        <v>110</v>
      </c>
      <c r="E27" s="58"/>
      <c r="F27" s="1" t="s">
        <v>111</v>
      </c>
      <c r="G27" s="2" t="s">
        <v>112</v>
      </c>
      <c r="H27" s="1" t="s">
        <v>113</v>
      </c>
      <c r="I27" s="2" t="s">
        <v>114</v>
      </c>
      <c r="J27" s="1" t="s">
        <v>115</v>
      </c>
      <c r="K27" s="1" t="s">
        <v>134</v>
      </c>
      <c r="L27" s="1" t="s">
        <v>164</v>
      </c>
      <c r="M27" s="1" t="s">
        <v>165</v>
      </c>
      <c r="N27" s="1" t="s">
        <v>119</v>
      </c>
      <c r="O27" s="59" t="s">
        <v>187</v>
      </c>
      <c r="P27" s="60" t="str">
        <f>MID(All_PCC_a[[#This Row],[Part Number]],7,3)</f>
        <v>1R0</v>
      </c>
      <c r="Q27" s="61">
        <v>1</v>
      </c>
      <c r="R27" s="61" t="str">
        <f>IF(All_PCC_a[[#This Row],[Lo (uH)]]&lt;1,"&lt;1",IF(All_PCC_a[[#This Row],[Lo (uH)]]&lt;10,"&lt;10",IF(All_PCC_a[[#This Row],[Lo (uH)]]&lt;100,"&lt;100",IF(All_PCC_a[[#This Row],[Lo (uH)]]&lt;2000,"&lt;2000",""))))</f>
        <v>&lt;10</v>
      </c>
      <c r="S27" s="61" t="str">
        <f>IFERROR(VLOOKUP(All_PCC_a[[#This Row],[Lo (uH)]],[1]Utility!$D$5:$E$43,2,1),"-")</f>
        <v>≤   1</v>
      </c>
      <c r="T27" s="62">
        <v>0.2</v>
      </c>
      <c r="U27" s="63">
        <v>6.2</v>
      </c>
      <c r="V27" s="63">
        <v>6.8200000000000012</v>
      </c>
      <c r="W27" s="61">
        <v>10</v>
      </c>
      <c r="X27" s="61">
        <v>12.1</v>
      </c>
      <c r="Y27" s="61">
        <v>9.9</v>
      </c>
      <c r="Z27" s="64">
        <v>16</v>
      </c>
      <c r="AA27" s="61">
        <v>10.65</v>
      </c>
      <c r="AB27" s="1">
        <v>6.4</v>
      </c>
      <c r="AC27" s="1">
        <v>6</v>
      </c>
      <c r="AD27" s="61">
        <v>3</v>
      </c>
      <c r="AE27" s="1">
        <f>ROUND(All_PCC_a[[#This Row],[L (mm)]]*All_PCC_a[[#This Row],[W (mm)]],1)</f>
        <v>38.4</v>
      </c>
      <c r="AF27" s="61" t="str">
        <f>All_PCC_a[[#This Row],[L (mm)]]&amp;"  x  "&amp;All_PCC_a[[#This Row],[W (mm)]]</f>
        <v>6,4  x  6</v>
      </c>
      <c r="AG27" s="65" t="s">
        <v>156</v>
      </c>
      <c r="AH27" s="61" t="str">
        <f>IF(All_PCC_a[[#This Row],[Max Height (mm)]]&lt;=9,"≤ "&amp;ROUNDUP(AD27,0),"≤"&amp;ROUNDUP(AD27,0))</f>
        <v>≤ 3</v>
      </c>
      <c r="AI27" s="1">
        <v>-55</v>
      </c>
      <c r="AJ27" s="1">
        <v>155</v>
      </c>
      <c r="AK27" s="1" t="str">
        <f>All_PCC_a[[#This Row],[Min Temp (deg.C)]]&amp;" to +"&amp;All_PCC_a[[#This Row],[Max Temp (deg.C)]]</f>
        <v>-55 to +155</v>
      </c>
      <c r="AL27" s="1"/>
      <c r="AO27" s="61" t="s">
        <v>122</v>
      </c>
      <c r="AP27" s="61" t="str">
        <f t="shared" si="6"/>
        <v>-</v>
      </c>
      <c r="AQ27" s="61" t="s">
        <v>122</v>
      </c>
      <c r="AR27" s="61" t="s">
        <v>122</v>
      </c>
      <c r="AS27" s="1" t="s">
        <v>188</v>
      </c>
      <c r="AT27" s="1" t="s">
        <v>140</v>
      </c>
      <c r="AU27" s="1" t="e" vm="1">
        <f ca="1">_xlfn.IMAGE(All_PCC_a[[#This Row],[Image URL]])</f>
        <v>#NAME?</v>
      </c>
      <c r="AW27" s="1"/>
      <c r="AY27" s="1"/>
      <c r="AZ27" s="1" t="str">
        <f>IF(AY27=1,COUNTIF($AY$11:AY27,1),"")</f>
        <v/>
      </c>
      <c r="BC27" s="1">
        <f>IF(Z27&lt;('[1]DCDC Ref'!$J$24/'[1]DCDC Ref'!$J$26)*'[1]DCDC Ref'!$J$28/100,0,1)</f>
        <v>1</v>
      </c>
      <c r="BD27" s="66">
        <f>IF(BC27=1000000000,"",('All Data'!Q27-'[1]DCDC Ref'!$J$30)/'[1]DCDC Ref'!$J$30*100)</f>
        <v>58.241758241758248</v>
      </c>
      <c r="BE27" s="67">
        <f t="shared" si="3"/>
        <v>58.241758241758248</v>
      </c>
      <c r="BF27" s="67"/>
      <c r="BG27" s="66"/>
      <c r="BH27" s="68">
        <f t="shared" si="0"/>
        <v>0</v>
      </c>
      <c r="BI27" s="67"/>
      <c r="BJ27" s="1">
        <f>IF(BC27=0,"",('All Data'!Z27-'[1]DCDC Ref'!$J$28*('[1]DCDC Ref'!$J$29/100))/'[1]DCDC Ref'!$J$28*('[1]DCDC Ref'!$J$29/100)*100)</f>
        <v>43.448275862068954</v>
      </c>
      <c r="BK27" s="68">
        <f t="shared" si="1"/>
        <v>43.448275862068954</v>
      </c>
      <c r="BL27" s="68"/>
      <c r="BM27" s="68"/>
      <c r="BN27" s="68"/>
      <c r="BO27" s="68"/>
      <c r="BQ27" s="5">
        <f t="shared" si="4"/>
        <v>291426.03258810157</v>
      </c>
      <c r="BR27" s="5">
        <f>IF(BQ27="","",RANK(BQ27,BQ$11:BQ$9930,1)+COUNTIF(BQ$11:BQ27,BQ27)-1)</f>
        <v>20</v>
      </c>
      <c r="BS27" s="69">
        <f t="shared" si="2"/>
        <v>20</v>
      </c>
      <c r="BT27" s="1" t="str">
        <f>IFERROR(INDEX($O$11:$O$1013,MATCH(ROWS($BS$11:BS27),$BS$11:$BS$1005,0)),"")</f>
        <v>ETQP8MR33JFA</v>
      </c>
      <c r="BU27" s="69" t="str">
        <f t="shared" si="5"/>
        <v>ETQP8MR33JFA</v>
      </c>
    </row>
    <row r="28" spans="1:73" ht="15">
      <c r="A28" s="1">
        <v>80</v>
      </c>
      <c r="B28" s="28" t="s">
        <v>109</v>
      </c>
      <c r="D28" s="1" t="s">
        <v>110</v>
      </c>
      <c r="E28" s="58"/>
      <c r="F28" s="1" t="s">
        <v>111</v>
      </c>
      <c r="G28" s="2" t="s">
        <v>112</v>
      </c>
      <c r="H28" s="1" t="s">
        <v>113</v>
      </c>
      <c r="I28" s="2" t="s">
        <v>114</v>
      </c>
      <c r="J28" s="1" t="s">
        <v>115</v>
      </c>
      <c r="K28" s="1" t="s">
        <v>134</v>
      </c>
      <c r="L28" s="1" t="s">
        <v>168</v>
      </c>
      <c r="M28" s="1" t="s">
        <v>169</v>
      </c>
      <c r="N28" s="1" t="s">
        <v>119</v>
      </c>
      <c r="O28" s="59" t="s">
        <v>189</v>
      </c>
      <c r="P28" s="60" t="str">
        <f>MID(All_PCC_a[[#This Row],[Part Number]],7,3)</f>
        <v>1R0</v>
      </c>
      <c r="Q28" s="61">
        <v>1</v>
      </c>
      <c r="R28" s="61" t="str">
        <f>IF(All_PCC_a[[#This Row],[Lo (uH)]]&lt;1,"&lt;1",IF(All_PCC_a[[#This Row],[Lo (uH)]]&lt;10,"&lt;10",IF(All_PCC_a[[#This Row],[Lo (uH)]]&lt;100,"&lt;100",IF(All_PCC_a[[#This Row],[Lo (uH)]]&lt;2000,"&lt;2000",""))))</f>
        <v>&lt;10</v>
      </c>
      <c r="S28" s="61" t="str">
        <f>IFERROR(VLOOKUP(All_PCC_a[[#This Row],[Lo (uH)]],[1]Utility!$D$5:$E$43,2,1),"-")</f>
        <v>≤   1</v>
      </c>
      <c r="T28" s="62">
        <v>0.2</v>
      </c>
      <c r="U28" s="63">
        <v>3.7</v>
      </c>
      <c r="V28" s="63">
        <v>4.07</v>
      </c>
      <c r="W28" s="61">
        <v>10</v>
      </c>
      <c r="X28" s="61">
        <v>17.3</v>
      </c>
      <c r="Y28" s="61">
        <v>14.8</v>
      </c>
      <c r="Z28" s="64">
        <v>24.4</v>
      </c>
      <c r="AA28" s="61">
        <v>19.059999999999999</v>
      </c>
      <c r="AB28" s="1">
        <v>8.4</v>
      </c>
      <c r="AC28" s="1">
        <v>8</v>
      </c>
      <c r="AD28" s="61">
        <v>4</v>
      </c>
      <c r="AE28" s="1">
        <f>ROUND(All_PCC_a[[#This Row],[L (mm)]]*All_PCC_a[[#This Row],[W (mm)]],1)</f>
        <v>67.2</v>
      </c>
      <c r="AF28" s="61" t="str">
        <f>All_PCC_a[[#This Row],[L (mm)]]&amp;"  x  "&amp;All_PCC_a[[#This Row],[W (mm)]]</f>
        <v>8,4  x  8</v>
      </c>
      <c r="AG28" s="76" t="s">
        <v>171</v>
      </c>
      <c r="AH28" s="61" t="str">
        <f>IF(All_PCC_a[[#This Row],[Max Height (mm)]]&lt;=9,"≤ "&amp;ROUNDUP(AD28,0),"≤"&amp;ROUNDUP(AD28,0))</f>
        <v>≤ 4</v>
      </c>
      <c r="AI28" s="1">
        <v>-55</v>
      </c>
      <c r="AJ28" s="1">
        <v>155</v>
      </c>
      <c r="AK28" s="1" t="str">
        <f>All_PCC_a[[#This Row],[Min Temp (deg.C)]]&amp;" to +"&amp;All_PCC_a[[#This Row],[Max Temp (deg.C)]]</f>
        <v>-55 to +155</v>
      </c>
      <c r="AL28" s="1"/>
      <c r="AO28" s="61" t="s">
        <v>122</v>
      </c>
      <c r="AP28" s="61" t="str">
        <f t="shared" si="6"/>
        <v>-</v>
      </c>
      <c r="AQ28" s="61" t="s">
        <v>122</v>
      </c>
      <c r="AR28" s="61" t="s">
        <v>122</v>
      </c>
      <c r="AS28" s="1" t="s">
        <v>190</v>
      </c>
      <c r="AT28" s="1" t="s">
        <v>140</v>
      </c>
      <c r="AU28" s="1" t="e" vm="1">
        <f ca="1">_xlfn.IMAGE(All_PCC_a[[#This Row],[Image URL]])</f>
        <v>#NAME?</v>
      </c>
      <c r="AW28" s="1"/>
      <c r="AY28" s="1"/>
      <c r="BC28" s="1">
        <f>IF(Z28&lt;('[1]DCDC Ref'!$J$24/'[1]DCDC Ref'!$J$26)*'[1]DCDC Ref'!$J$28/100,0,1)</f>
        <v>1</v>
      </c>
      <c r="BD28" s="66">
        <f>IF(BC28=1000000000,"",('All Data'!Q28-'[1]DCDC Ref'!$J$30)/'[1]DCDC Ref'!$J$30*100)</f>
        <v>58.241758241758248</v>
      </c>
      <c r="BE28" s="67">
        <f t="shared" si="3"/>
        <v>58.241758241758248</v>
      </c>
      <c r="BF28" s="67"/>
      <c r="BG28" s="66"/>
      <c r="BH28" s="68">
        <f t="shared" si="0"/>
        <v>0</v>
      </c>
      <c r="BI28" s="67"/>
      <c r="BJ28" s="1">
        <f>IF(BC28=0,"",('All Data'!Z28-'[1]DCDC Ref'!$J$28*('[1]DCDC Ref'!$J$29/100))/'[1]DCDC Ref'!$J$28*('[1]DCDC Ref'!$J$29/100)*100)</f>
        <v>118.75862068965513</v>
      </c>
      <c r="BK28" s="68">
        <f t="shared" si="1"/>
        <v>118.75862068965513</v>
      </c>
      <c r="BL28" s="68"/>
      <c r="BM28" s="68"/>
      <c r="BN28" s="68"/>
      <c r="BO28" s="68"/>
      <c r="BQ28" s="5">
        <f t="shared" si="4"/>
        <v>291802.58431223955</v>
      </c>
      <c r="BR28" s="5">
        <f>IF(BQ28="","",RANK(BQ28,BQ$11:BQ$9930,1)+COUNTIF(BQ$11:BQ28,BQ28)-1)</f>
        <v>22</v>
      </c>
      <c r="BS28" s="69">
        <f t="shared" si="2"/>
        <v>22</v>
      </c>
      <c r="BT28" s="1" t="str">
        <f>IFERROR(INDEX($O$11:$O$1013,MATCH(ROWS($BS$11:BS28),$BS$11:$BS$1005,0)),"")</f>
        <v>ETQPAMR33JFW</v>
      </c>
      <c r="BU28" s="69" t="str">
        <f t="shared" si="5"/>
        <v>ETQPAMR33JFW</v>
      </c>
    </row>
    <row r="29" spans="1:73" ht="15">
      <c r="A29" s="1">
        <v>92</v>
      </c>
      <c r="B29" s="28" t="s">
        <v>109</v>
      </c>
      <c r="D29" s="1" t="s">
        <v>110</v>
      </c>
      <c r="E29" s="58"/>
      <c r="F29" s="1" t="s">
        <v>111</v>
      </c>
      <c r="G29" s="2" t="s">
        <v>112</v>
      </c>
      <c r="H29" s="1" t="s">
        <v>113</v>
      </c>
      <c r="I29" s="2" t="s">
        <v>114</v>
      </c>
      <c r="J29" s="1" t="s">
        <v>115</v>
      </c>
      <c r="K29" s="1" t="s">
        <v>134</v>
      </c>
      <c r="L29" s="1" t="s">
        <v>191</v>
      </c>
      <c r="M29" s="1" t="s">
        <v>192</v>
      </c>
      <c r="N29" s="1" t="s">
        <v>119</v>
      </c>
      <c r="O29" s="59" t="s">
        <v>193</v>
      </c>
      <c r="P29" s="60" t="str">
        <f>MID(All_PCC_a[[#This Row],[Part Number]],7,3)</f>
        <v>1R0</v>
      </c>
      <c r="Q29" s="61">
        <v>1</v>
      </c>
      <c r="R29" s="61" t="str">
        <f>IF(All_PCC_a[[#This Row],[Lo (uH)]]&lt;1,"&lt;1",IF(All_PCC_a[[#This Row],[Lo (uH)]]&lt;10,"&lt;10",IF(All_PCC_a[[#This Row],[Lo (uH)]]&lt;100,"&lt;100",IF(All_PCC_a[[#This Row],[Lo (uH)]]&lt;2000,"&lt;2000",""))))</f>
        <v>&lt;10</v>
      </c>
      <c r="S29" s="61" t="str">
        <f>IFERROR(VLOOKUP(All_PCC_a[[#This Row],[Lo (uH)]],[1]Utility!$D$5:$E$43,2,1),"-")</f>
        <v>≤   1</v>
      </c>
      <c r="T29" s="62">
        <v>0.2</v>
      </c>
      <c r="U29" s="63">
        <v>2.6</v>
      </c>
      <c r="V29" s="63">
        <v>2.8600000000000003</v>
      </c>
      <c r="W29" s="61">
        <v>10</v>
      </c>
      <c r="X29" s="61">
        <v>23.9</v>
      </c>
      <c r="Y29" s="86">
        <v>19.600000000000001</v>
      </c>
      <c r="Z29" s="87">
        <v>34.6</v>
      </c>
      <c r="AA29" s="61">
        <v>24.000000000000028</v>
      </c>
      <c r="AB29" s="1">
        <v>10.7</v>
      </c>
      <c r="AC29" s="1">
        <v>10</v>
      </c>
      <c r="AD29" s="61">
        <v>4</v>
      </c>
      <c r="AE29" s="1">
        <f>ROUND(All_PCC_a[[#This Row],[L (mm)]]*All_PCC_a[[#This Row],[W (mm)]],1)</f>
        <v>107</v>
      </c>
      <c r="AF29" s="61" t="str">
        <f>All_PCC_a[[#This Row],[L (mm)]]&amp;"  x  "&amp;All_PCC_a[[#This Row],[W (mm)]]</f>
        <v>10,7  x  10</v>
      </c>
      <c r="AG29" s="65" t="s">
        <v>121</v>
      </c>
      <c r="AH29" s="61" t="str">
        <f>IF(All_PCC_a[[#This Row],[Max Height (mm)]]&lt;=9,"≤ "&amp;ROUNDUP(AD29,0),"≤"&amp;ROUNDUP(AD29,0))</f>
        <v>≤ 4</v>
      </c>
      <c r="AI29" s="1">
        <v>-55</v>
      </c>
      <c r="AJ29" s="1">
        <v>155</v>
      </c>
      <c r="AK29" s="1" t="str">
        <f>All_PCC_a[[#This Row],[Min Temp (deg.C)]]&amp;" to +"&amp;All_PCC_a[[#This Row],[Max Temp (deg.C)]]</f>
        <v>-55 to +155</v>
      </c>
      <c r="AL29" s="1"/>
      <c r="AO29" s="61" t="s">
        <v>122</v>
      </c>
      <c r="AP29" s="61" t="str">
        <f t="shared" si="6"/>
        <v>-</v>
      </c>
      <c r="AQ29" s="61" t="s">
        <v>122</v>
      </c>
      <c r="AR29" s="61" t="s">
        <v>122</v>
      </c>
      <c r="AS29" s="1" t="s">
        <v>194</v>
      </c>
      <c r="AT29" s="1" t="s">
        <v>140</v>
      </c>
      <c r="AU29" s="1" t="e" vm="1">
        <f ca="1">_xlfn.IMAGE(All_PCC_a[[#This Row],[Image URL]])</f>
        <v>#NAME?</v>
      </c>
      <c r="AW29" s="1"/>
      <c r="AY29" s="1"/>
      <c r="AZ29" s="1" t="str">
        <f>IF(AY29=1,COUNTIF($AY$11:AY29,1),"")</f>
        <v/>
      </c>
      <c r="BC29" s="1">
        <f>IF(Z29&lt;('[1]DCDC Ref'!$J$24/'[1]DCDC Ref'!$J$26)*'[1]DCDC Ref'!$J$28/100,0,1)</f>
        <v>1</v>
      </c>
      <c r="BD29" s="66">
        <f>IF(BC29=1000000000,"",('All Data'!Q29-'[1]DCDC Ref'!$J$30)/'[1]DCDC Ref'!$J$30*100)</f>
        <v>58.241758241758248</v>
      </c>
      <c r="BE29" s="67">
        <f t="shared" si="3"/>
        <v>58.241758241758248</v>
      </c>
      <c r="BF29" s="67"/>
      <c r="BG29" s="66"/>
      <c r="BH29" s="68">
        <f t="shared" si="0"/>
        <v>0</v>
      </c>
      <c r="BI29" s="67"/>
      <c r="BJ29" s="1">
        <f>IF(BC29=0,"",('All Data'!Z29-'[1]DCDC Ref'!$J$28*('[1]DCDC Ref'!$J$29/100))/'[1]DCDC Ref'!$J$28*('[1]DCDC Ref'!$J$29/100)*100)</f>
        <v>210.20689655172413</v>
      </c>
      <c r="BK29" s="68">
        <f t="shared" si="1"/>
        <v>210.20689655172413</v>
      </c>
      <c r="BL29" s="68"/>
      <c r="BM29" s="68"/>
      <c r="BN29" s="68"/>
      <c r="BO29" s="68"/>
      <c r="BQ29" s="5">
        <f t="shared" si="4"/>
        <v>292259.82569154986</v>
      </c>
      <c r="BR29" s="5">
        <f>IF(BQ29="","",RANK(BQ29,BQ$11:BQ$9930,1)+COUNTIF(BQ$11:BQ29,BQ29)-1)</f>
        <v>23</v>
      </c>
      <c r="BS29" s="69">
        <f t="shared" si="2"/>
        <v>23</v>
      </c>
      <c r="BT29" s="1" t="str">
        <f>IFERROR(INDEX($O$11:$O$1013,MATCH(ROWS($BS$11:BS29),$BS$11:$BS$1005,0)),"")</f>
        <v>ETQP3M1R0KVP</v>
      </c>
      <c r="BU29" s="69" t="str">
        <f t="shared" si="5"/>
        <v>ETQP3M1R0KVP</v>
      </c>
    </row>
    <row r="30" spans="1:73" ht="15">
      <c r="A30" s="1">
        <v>13</v>
      </c>
      <c r="B30" s="28" t="s">
        <v>109</v>
      </c>
      <c r="D30" s="1" t="s">
        <v>110</v>
      </c>
      <c r="E30" s="58"/>
      <c r="F30" s="1" t="s">
        <v>111</v>
      </c>
      <c r="G30" s="2" t="s">
        <v>112</v>
      </c>
      <c r="H30" s="1" t="s">
        <v>113</v>
      </c>
      <c r="I30" s="2" t="s">
        <v>114</v>
      </c>
      <c r="J30" s="1" t="s">
        <v>115</v>
      </c>
      <c r="K30" s="1" t="s">
        <v>116</v>
      </c>
      <c r="L30" s="1" t="s">
        <v>195</v>
      </c>
      <c r="M30" s="1" t="s">
        <v>196</v>
      </c>
      <c r="N30" s="1" t="s">
        <v>154</v>
      </c>
      <c r="O30" s="59" t="s">
        <v>197</v>
      </c>
      <c r="P30" s="60" t="str">
        <f>MID(All_PCC_a[[#This Row],[Part Number]],7,3)</f>
        <v>1R5</v>
      </c>
      <c r="Q30" s="85">
        <v>1.5</v>
      </c>
      <c r="R30" s="61" t="str">
        <f>IF(All_PCC_a[[#This Row],[Lo (uH)]]&lt;1,"&lt;1",IF(All_PCC_a[[#This Row],[Lo (uH)]]&lt;10,"&lt;10",IF(All_PCC_a[[#This Row],[Lo (uH)]]&lt;100,"&lt;100",IF(All_PCC_a[[#This Row],[Lo (uH)]]&lt;2000,"&lt;2000",""))))</f>
        <v>&lt;10</v>
      </c>
      <c r="S30" s="61" t="str">
        <f>IFERROR(VLOOKUP(All_PCC_a[[#This Row],[Lo (uH)]],[1]Utility!$D$5:$E$43,2,1),"-")</f>
        <v>≤   2</v>
      </c>
      <c r="T30" s="62">
        <v>0.2</v>
      </c>
      <c r="U30" s="63">
        <v>3.8</v>
      </c>
      <c r="V30" s="63">
        <v>4.18</v>
      </c>
      <c r="W30" s="61">
        <v>10</v>
      </c>
      <c r="X30" s="61">
        <v>21.4</v>
      </c>
      <c r="Y30" s="61">
        <v>17.899999999999999</v>
      </c>
      <c r="Z30" s="64">
        <v>35.1</v>
      </c>
      <c r="AA30" s="61">
        <v>25.52</v>
      </c>
      <c r="AB30" s="1">
        <v>10.7</v>
      </c>
      <c r="AC30" s="1">
        <v>10</v>
      </c>
      <c r="AD30" s="61">
        <v>5.4</v>
      </c>
      <c r="AE30" s="1">
        <f>ROUND(All_PCC_a[[#This Row],[L (mm)]]*All_PCC_a[[#This Row],[W (mm)]],1)</f>
        <v>107</v>
      </c>
      <c r="AF30" s="61" t="str">
        <f>All_PCC_a[[#This Row],[L (mm)]]&amp;"  x  "&amp;All_PCC_a[[#This Row],[W (mm)]]</f>
        <v>10,7  x  10</v>
      </c>
      <c r="AG30" s="76" t="s">
        <v>121</v>
      </c>
      <c r="AH30" s="61" t="str">
        <f>IF(All_PCC_a[[#This Row],[Max Height (mm)]]&lt;=9,"≤ "&amp;ROUNDUP(AD30,0),"≤"&amp;ROUNDUP(AD30,0))</f>
        <v>≤ 6</v>
      </c>
      <c r="AI30" s="11">
        <v>-40</v>
      </c>
      <c r="AJ30" s="11">
        <v>150</v>
      </c>
      <c r="AK30" s="1" t="str">
        <f>All_PCC_a[[#This Row],[Min Temp (deg.C)]]&amp;" to +"&amp;All_PCC_a[[#This Row],[Max Temp (deg.C)]]</f>
        <v>-40 to +150</v>
      </c>
      <c r="AL30" s="1"/>
      <c r="AO30" s="61" t="s">
        <v>144</v>
      </c>
      <c r="AP30" s="61" t="str">
        <f t="shared" si="6"/>
        <v>-</v>
      </c>
      <c r="AQ30" s="62" t="s">
        <v>122</v>
      </c>
      <c r="AR30" s="61" t="s">
        <v>122</v>
      </c>
      <c r="AS30" s="1" t="s">
        <v>198</v>
      </c>
      <c r="AT30" s="1" t="s">
        <v>124</v>
      </c>
      <c r="AU30" s="1" t="e" vm="1">
        <f ca="1">_xlfn.IMAGE(All_PCC_a[[#This Row],[Image URL]])</f>
        <v>#NAME?</v>
      </c>
      <c r="AW30" s="1"/>
      <c r="AY30" s="1"/>
      <c r="AZ30" s="1" t="str">
        <f>IF(AY30=1,COUNTIF($AY$11:AY30,1),"")</f>
        <v/>
      </c>
      <c r="BC30" s="1">
        <f>IF(Z30&lt;('[1]DCDC Ref'!$J$24/'[1]DCDC Ref'!$J$26)*'[1]DCDC Ref'!$J$28/100,0,1)</f>
        <v>1</v>
      </c>
      <c r="BD30" s="66">
        <f>IF(BC30=1000000000,"",('All Data'!Q30-'[1]DCDC Ref'!$J$30)/'[1]DCDC Ref'!$J$30*100)</f>
        <v>137.36263736263737</v>
      </c>
      <c r="BE30" s="67">
        <f t="shared" si="3"/>
        <v>137.36263736263737</v>
      </c>
      <c r="BF30" s="67"/>
      <c r="BG30" s="66"/>
      <c r="BH30" s="68">
        <f t="shared" si="0"/>
        <v>0</v>
      </c>
      <c r="BI30" s="67"/>
      <c r="BJ30" s="1">
        <f>IF(BC30=0,"",('All Data'!Z30-'[1]DCDC Ref'!$J$28*('[1]DCDC Ref'!$J$29/100))/'[1]DCDC Ref'!$J$28*('[1]DCDC Ref'!$J$29/100)*100)</f>
        <v>214.68965517241378</v>
      </c>
      <c r="BK30" s="68">
        <f t="shared" si="1"/>
        <v>214.68965517241378</v>
      </c>
      <c r="BL30" s="68"/>
      <c r="BM30" s="68"/>
      <c r="BN30" s="68"/>
      <c r="BO30" s="68"/>
      <c r="BQ30" s="5">
        <f t="shared" si="4"/>
        <v>687886.63508904888</v>
      </c>
      <c r="BR30" s="5">
        <f>IF(BQ30="","",RANK(BQ30,BQ$11:BQ$9930,1)+COUNTIF(BQ$11:BQ30,BQ30)-1)</f>
        <v>37</v>
      </c>
      <c r="BS30" s="69">
        <f t="shared" si="2"/>
        <v>37</v>
      </c>
      <c r="BT30" s="1" t="str">
        <f>IFERROR(INDEX($O$11:$O$1013,MATCH(ROWS($BS$11:BS30),$BS$11:$BS$1005,0)),"")</f>
        <v>ETQP3M1R0KVN</v>
      </c>
      <c r="BU30" s="69" t="str">
        <f t="shared" si="5"/>
        <v>ETQP3M1R0KVN</v>
      </c>
    </row>
    <row r="31" spans="1:73" ht="15">
      <c r="A31" s="1">
        <v>41</v>
      </c>
      <c r="B31" s="28" t="s">
        <v>109</v>
      </c>
      <c r="D31" s="1" t="s">
        <v>110</v>
      </c>
      <c r="E31" s="58"/>
      <c r="F31" s="1" t="s">
        <v>111</v>
      </c>
      <c r="G31" s="2" t="s">
        <v>112</v>
      </c>
      <c r="H31" s="1" t="s">
        <v>113</v>
      </c>
      <c r="I31" s="2" t="s">
        <v>114</v>
      </c>
      <c r="J31" s="1" t="s">
        <v>115</v>
      </c>
      <c r="K31" s="1" t="s">
        <v>116</v>
      </c>
      <c r="L31" s="1" t="s">
        <v>199</v>
      </c>
      <c r="M31" s="1" t="s">
        <v>200</v>
      </c>
      <c r="N31" s="1" t="s">
        <v>119</v>
      </c>
      <c r="O31" s="59" t="s">
        <v>201</v>
      </c>
      <c r="P31" s="60" t="str">
        <f>MID(All_PCC_a[[#This Row],[Part Number]],7,3)</f>
        <v>1R5</v>
      </c>
      <c r="Q31" s="61">
        <v>1.5</v>
      </c>
      <c r="R31" s="61" t="str">
        <f>IF(All_PCC_a[[#This Row],[Lo (uH)]]&lt;1,"&lt;1",IF(All_PCC_a[[#This Row],[Lo (uH)]]&lt;10,"&lt;10",IF(All_PCC_a[[#This Row],[Lo (uH)]]&lt;100,"&lt;100",IF(All_PCC_a[[#This Row],[Lo (uH)]]&lt;2000,"&lt;2000",""))))</f>
        <v>&lt;10</v>
      </c>
      <c r="S31" s="61" t="str">
        <f>IFERROR(VLOOKUP(All_PCC_a[[#This Row],[Lo (uH)]],[1]Utility!$D$5:$E$43,2,1),"-")</f>
        <v>≤   2</v>
      </c>
      <c r="T31" s="62">
        <v>0.2</v>
      </c>
      <c r="U31" s="63">
        <v>3.2</v>
      </c>
      <c r="V31" s="63">
        <v>3.52</v>
      </c>
      <c r="W31" s="61">
        <v>10</v>
      </c>
      <c r="X31" s="61">
        <v>23.3</v>
      </c>
      <c r="Y31" s="61">
        <v>19.5</v>
      </c>
      <c r="Z31" s="64">
        <v>32</v>
      </c>
      <c r="AA31" s="61">
        <v>22.19</v>
      </c>
      <c r="AB31" s="1">
        <v>10.9</v>
      </c>
      <c r="AC31" s="1">
        <v>10</v>
      </c>
      <c r="AD31" s="61">
        <v>6</v>
      </c>
      <c r="AE31" s="1">
        <f>ROUND(All_PCC_a[[#This Row],[L (mm)]]*All_PCC_a[[#This Row],[W (mm)]],1)</f>
        <v>109</v>
      </c>
      <c r="AF31" s="61" t="str">
        <f>All_PCC_a[[#This Row],[L (mm)]]&amp;"  x  "&amp;All_PCC_a[[#This Row],[W (mm)]]</f>
        <v>10,9  x  10</v>
      </c>
      <c r="AG31" s="65" t="s">
        <v>121</v>
      </c>
      <c r="AH31" s="61" t="str">
        <f>IF(All_PCC_a[[#This Row],[Max Height (mm)]]&lt;=9,"≤ "&amp;ROUNDUP(AD31,0),"≤"&amp;ROUNDUP(AD31,0))</f>
        <v>≤ 6</v>
      </c>
      <c r="AI31" s="1">
        <v>-40</v>
      </c>
      <c r="AJ31" s="1">
        <v>150</v>
      </c>
      <c r="AK31" s="1" t="str">
        <f>All_PCC_a[[#This Row],[Min Temp (deg.C)]]&amp;" to +"&amp;All_PCC_a[[#This Row],[Max Temp (deg.C)]]</f>
        <v>-40 to +150</v>
      </c>
      <c r="AL31" s="1"/>
      <c r="AO31" s="61" t="s">
        <v>122</v>
      </c>
      <c r="AP31" s="61" t="str">
        <f t="shared" si="6"/>
        <v>-</v>
      </c>
      <c r="AQ31" s="61" t="s">
        <v>122</v>
      </c>
      <c r="AR31" s="61" t="s">
        <v>122</v>
      </c>
      <c r="AS31" s="1" t="s">
        <v>202</v>
      </c>
      <c r="AT31" s="1" t="s">
        <v>124</v>
      </c>
      <c r="AU31" s="1" t="e" vm="1">
        <f ca="1">_xlfn.IMAGE(All_PCC_a[[#This Row],[Image URL]])</f>
        <v>#NAME?</v>
      </c>
      <c r="AW31" s="1"/>
      <c r="AY31" s="1"/>
      <c r="BC31" s="1">
        <f>IF(Z31&lt;('[1]DCDC Ref'!$J$24/'[1]DCDC Ref'!$J$26)*'[1]DCDC Ref'!$J$28/100,0,1)</f>
        <v>1</v>
      </c>
      <c r="BD31" s="66">
        <f>IF(BC31=1000000000,"",('All Data'!Q31-'[1]DCDC Ref'!$J$30)/'[1]DCDC Ref'!$J$30*100)</f>
        <v>137.36263736263737</v>
      </c>
      <c r="BE31" s="67">
        <f t="shared" si="3"/>
        <v>137.36263736263737</v>
      </c>
      <c r="BF31" s="67"/>
      <c r="BG31" s="66"/>
      <c r="BH31" s="68">
        <f t="shared" si="0"/>
        <v>0</v>
      </c>
      <c r="BI31" s="67"/>
      <c r="BJ31" s="1">
        <f>IF(BC31=0,"",('All Data'!Z31-'[1]DCDC Ref'!$J$28*('[1]DCDC Ref'!$J$29/100))/'[1]DCDC Ref'!$J$28*('[1]DCDC Ref'!$J$29/100)*100)</f>
        <v>186.89655172413791</v>
      </c>
      <c r="BK31" s="68">
        <f t="shared" si="1"/>
        <v>186.89655172413791</v>
      </c>
      <c r="BL31" s="68"/>
      <c r="BM31" s="68"/>
      <c r="BN31" s="68"/>
      <c r="BO31" s="68"/>
      <c r="BQ31" s="5">
        <f t="shared" si="4"/>
        <v>687747.66957180749</v>
      </c>
      <c r="BR31" s="5">
        <f>IF(BQ31="","",RANK(BQ31,BQ$11:BQ$9930,1)+COUNTIF(BQ$11:BQ31,BQ31)-1)</f>
        <v>36</v>
      </c>
      <c r="BS31" s="69">
        <f t="shared" si="2"/>
        <v>36</v>
      </c>
      <c r="BT31" s="1" t="str">
        <f>IFERROR(INDEX($O$11:$O$1013,MATCH(ROWS($BS$11:BS31),$BS$11:$BS$1005,0)),"")</f>
        <v>ETQP3M1R0YFN</v>
      </c>
      <c r="BU31" s="69" t="str">
        <f t="shared" si="5"/>
        <v>ETQP3M1R0YFN</v>
      </c>
    </row>
    <row r="32" spans="1:73" ht="15">
      <c r="A32" s="1">
        <v>48</v>
      </c>
      <c r="B32" s="28" t="s">
        <v>109</v>
      </c>
      <c r="D32" s="1" t="s">
        <v>110</v>
      </c>
      <c r="E32" s="58"/>
      <c r="F32" s="1" t="s">
        <v>111</v>
      </c>
      <c r="G32" s="2" t="s">
        <v>112</v>
      </c>
      <c r="H32" s="1" t="s">
        <v>113</v>
      </c>
      <c r="I32" s="2" t="s">
        <v>114</v>
      </c>
      <c r="J32" s="1" t="s">
        <v>115</v>
      </c>
      <c r="K32" s="1" t="s">
        <v>126</v>
      </c>
      <c r="L32" s="1" t="s">
        <v>127</v>
      </c>
      <c r="M32" s="1" t="s">
        <v>128</v>
      </c>
      <c r="N32" s="1" t="s">
        <v>119</v>
      </c>
      <c r="O32" s="59" t="s">
        <v>203</v>
      </c>
      <c r="P32" s="60" t="str">
        <f>MID(All_PCC_a[[#This Row],[Part Number]],7,3)</f>
        <v>1R5</v>
      </c>
      <c r="Q32" s="61">
        <v>1.5</v>
      </c>
      <c r="R32" s="61" t="str">
        <f>IF(All_PCC_a[[#This Row],[Lo (uH)]]&lt;1,"&lt;1",IF(All_PCC_a[[#This Row],[Lo (uH)]]&lt;10,"&lt;10",IF(All_PCC_a[[#This Row],[Lo (uH)]]&lt;100,"&lt;100",IF(All_PCC_a[[#This Row],[Lo (uH)]]&lt;2000,"&lt;2000",""))))</f>
        <v>&lt;10</v>
      </c>
      <c r="S32" s="61" t="str">
        <f>IFERROR(VLOOKUP(All_PCC_a[[#This Row],[Lo (uH)]],[1]Utility!$D$5:$E$43,2,1),"-")</f>
        <v>≤   2</v>
      </c>
      <c r="T32" s="62">
        <v>0.2</v>
      </c>
      <c r="U32" s="63">
        <v>1.8</v>
      </c>
      <c r="V32" s="63">
        <v>1.9800000000000002</v>
      </c>
      <c r="W32" s="61">
        <v>10</v>
      </c>
      <c r="X32" s="61">
        <v>33.299999999999997</v>
      </c>
      <c r="Y32" s="61">
        <v>27.7</v>
      </c>
      <c r="Z32" s="64">
        <v>29.9</v>
      </c>
      <c r="AA32" s="77">
        <v>21.51</v>
      </c>
      <c r="AB32" s="1">
        <v>12.6</v>
      </c>
      <c r="AC32" s="1">
        <v>13.2</v>
      </c>
      <c r="AD32" s="61">
        <v>8</v>
      </c>
      <c r="AE32" s="1">
        <f>ROUND(All_PCC_a[[#This Row],[L (mm)]]*All_PCC_a[[#This Row],[W (mm)]],1)</f>
        <v>166.3</v>
      </c>
      <c r="AF32" s="61" t="str">
        <f>All_PCC_a[[#This Row],[L (mm)]]&amp;"  x  "&amp;All_PCC_a[[#This Row],[W (mm)]]</f>
        <v>12,6  x  13,2</v>
      </c>
      <c r="AG32" s="65" t="s">
        <v>130</v>
      </c>
      <c r="AH32" s="61" t="str">
        <f>IF(All_PCC_a[[#This Row],[Max Height (mm)]]&lt;=9,"≤ "&amp;ROUNDUP(AD32,0),"≤"&amp;ROUNDUP(AD32,0))</f>
        <v>≤ 8</v>
      </c>
      <c r="AI32" s="1">
        <v>-40</v>
      </c>
      <c r="AJ32" s="1">
        <v>160</v>
      </c>
      <c r="AK32" s="1" t="str">
        <f>All_PCC_a[[#This Row],[Min Temp (deg.C)]]&amp;" to +"&amp;All_PCC_a[[#This Row],[Max Temp (deg.C)]]</f>
        <v>-40 to +160</v>
      </c>
      <c r="AL32" s="1"/>
      <c r="AN32" s="1" t="s">
        <v>131</v>
      </c>
      <c r="AO32" s="61" t="s">
        <v>122</v>
      </c>
      <c r="AP32" s="61" t="str">
        <f t="shared" si="6"/>
        <v>-</v>
      </c>
      <c r="AQ32" s="61" t="s">
        <v>122</v>
      </c>
      <c r="AR32" s="61" t="s">
        <v>122</v>
      </c>
      <c r="AS32" s="1" t="s">
        <v>204</v>
      </c>
      <c r="AT32" s="1" t="s">
        <v>133</v>
      </c>
      <c r="AU32" s="1" t="e" vm="1">
        <f ca="1">_xlfn.IMAGE(All_PCC_a[[#This Row],[Image URL]])</f>
        <v>#NAME?</v>
      </c>
      <c r="AW32" s="1"/>
      <c r="AY32" s="1"/>
      <c r="BC32" s="1">
        <f>IF(Z32&lt;('[1]DCDC Ref'!$J$24/'[1]DCDC Ref'!$J$26)*'[1]DCDC Ref'!$J$28/100,0,1)</f>
        <v>1</v>
      </c>
      <c r="BD32" s="66">
        <f>IF(BC32=1000000000,"",('All Data'!Q32-'[1]DCDC Ref'!$J$30)/'[1]DCDC Ref'!$J$30*100)</f>
        <v>137.36263736263737</v>
      </c>
      <c r="BE32" s="67">
        <f t="shared" si="3"/>
        <v>137.36263736263737</v>
      </c>
      <c r="BF32" s="67"/>
      <c r="BG32" s="66"/>
      <c r="BH32" s="68">
        <f t="shared" si="0"/>
        <v>0</v>
      </c>
      <c r="BI32" s="67"/>
      <c r="BJ32" s="1">
        <f>IF(BC32=0,"",('All Data'!Z32-'[1]DCDC Ref'!$J$28*('[1]DCDC Ref'!$J$29/100))/'[1]DCDC Ref'!$J$28*('[1]DCDC Ref'!$J$29/100)*100)</f>
        <v>168.06896551724137</v>
      </c>
      <c r="BK32" s="68">
        <f t="shared" si="1"/>
        <v>168.06896551724137</v>
      </c>
      <c r="BL32" s="68"/>
      <c r="BM32" s="68"/>
      <c r="BN32" s="68"/>
      <c r="BO32" s="68"/>
      <c r="BQ32" s="5">
        <f t="shared" si="4"/>
        <v>687653.53164077306</v>
      </c>
      <c r="BR32" s="5">
        <f>IF(BQ32="","",RANK(BQ32,BQ$11:BQ$9930,1)+COUNTIF(BQ$11:BQ32,BQ32)-1)</f>
        <v>35</v>
      </c>
      <c r="BS32" s="69">
        <f t="shared" si="2"/>
        <v>35</v>
      </c>
      <c r="BT32" s="1" t="str">
        <f>IFERROR(INDEX($O$11:$O$1013,MATCH(ROWS($BS$11:BS32),$BS$11:$BS$1005,0)),"")</f>
        <v>ETQP4M1R0KVK</v>
      </c>
      <c r="BU32" s="69" t="str">
        <f t="shared" si="5"/>
        <v>ETQP4M1R0KVK</v>
      </c>
    </row>
    <row r="33" spans="1:73" ht="15">
      <c r="A33" s="1">
        <v>57</v>
      </c>
      <c r="B33" s="28" t="s">
        <v>109</v>
      </c>
      <c r="D33" s="1" t="s">
        <v>110</v>
      </c>
      <c r="E33" s="58"/>
      <c r="F33" s="1" t="s">
        <v>111</v>
      </c>
      <c r="G33" s="2" t="s">
        <v>112</v>
      </c>
      <c r="H33" s="1" t="s">
        <v>113</v>
      </c>
      <c r="I33" s="2" t="s">
        <v>114</v>
      </c>
      <c r="J33" s="1" t="s">
        <v>115</v>
      </c>
      <c r="K33" s="1" t="s">
        <v>134</v>
      </c>
      <c r="L33" s="1" t="s">
        <v>135</v>
      </c>
      <c r="M33" s="1" t="s">
        <v>136</v>
      </c>
      <c r="N33" s="1" t="s">
        <v>119</v>
      </c>
      <c r="O33" s="59" t="s">
        <v>205</v>
      </c>
      <c r="P33" s="60" t="str">
        <f>MID(All_PCC_a[[#This Row],[Part Number]],7,3)</f>
        <v>1R5</v>
      </c>
      <c r="Q33" s="61">
        <v>1.5</v>
      </c>
      <c r="R33" s="61" t="str">
        <f>IF(All_PCC_a[[#This Row],[Lo (uH)]]&lt;1,"&lt;1",IF(All_PCC_a[[#This Row],[Lo (uH)]]&lt;10,"&lt;10",IF(All_PCC_a[[#This Row],[Lo (uH)]]&lt;100,"&lt;100",IF(All_PCC_a[[#This Row],[Lo (uH)]]&lt;2000,"&lt;2000",""))))</f>
        <v>&lt;10</v>
      </c>
      <c r="S33" s="61" t="str">
        <f>IFERROR(VLOOKUP(All_PCC_a[[#This Row],[Lo (uH)]],[1]Utility!$D$5:$E$43,2,1),"-")</f>
        <v>≤   2</v>
      </c>
      <c r="T33" s="62">
        <v>0.2</v>
      </c>
      <c r="U33" s="63">
        <v>12</v>
      </c>
      <c r="V33" s="63">
        <v>13.200000000000001</v>
      </c>
      <c r="W33" s="61">
        <v>10</v>
      </c>
      <c r="X33" s="61">
        <v>8.1</v>
      </c>
      <c r="Y33" s="61">
        <v>6.7</v>
      </c>
      <c r="Z33" s="64">
        <v>12</v>
      </c>
      <c r="AA33" s="61">
        <v>9.61</v>
      </c>
      <c r="AB33" s="1">
        <v>5.5</v>
      </c>
      <c r="AC33" s="1">
        <v>5</v>
      </c>
      <c r="AD33" s="61">
        <v>3</v>
      </c>
      <c r="AE33" s="1">
        <f>ROUND(All_PCC_a[[#This Row],[L (mm)]]*All_PCC_a[[#This Row],[W (mm)]],1)</f>
        <v>27.5</v>
      </c>
      <c r="AF33" s="61" t="str">
        <f>All_PCC_a[[#This Row],[L (mm)]]&amp;"  x  "&amp;All_PCC_a[[#This Row],[W (mm)]]</f>
        <v>5,5  x  5</v>
      </c>
      <c r="AG33" s="65" t="s">
        <v>138</v>
      </c>
      <c r="AH33" s="61" t="str">
        <f>IF(All_PCC_a[[#This Row],[Max Height (mm)]]&lt;=9,"≤ "&amp;ROUNDUP(AD33,0),"≤"&amp;ROUNDUP(AD33,0))</f>
        <v>≤ 3</v>
      </c>
      <c r="AI33" s="1">
        <v>-55</v>
      </c>
      <c r="AJ33" s="1">
        <v>155</v>
      </c>
      <c r="AK33" s="1" t="str">
        <f>All_PCC_a[[#This Row],[Min Temp (deg.C)]]&amp;" to +"&amp;All_PCC_a[[#This Row],[Max Temp (deg.C)]]</f>
        <v>-55 to +155</v>
      </c>
      <c r="AL33" s="1"/>
      <c r="AO33" s="61" t="s">
        <v>122</v>
      </c>
      <c r="AP33" s="61" t="str">
        <f t="shared" si="6"/>
        <v>-</v>
      </c>
      <c r="AQ33" s="61" t="s">
        <v>122</v>
      </c>
      <c r="AR33" s="61" t="s">
        <v>122</v>
      </c>
      <c r="AS33" s="1" t="s">
        <v>206</v>
      </c>
      <c r="AT33" s="1" t="s">
        <v>140</v>
      </c>
      <c r="AU33" s="1" t="e" vm="1">
        <f ca="1">_xlfn.IMAGE(All_PCC_a[[#This Row],[Image URL]])</f>
        <v>#NAME?</v>
      </c>
      <c r="AW33" s="1"/>
      <c r="AY33" s="1"/>
      <c r="AZ33" s="1" t="str">
        <f>IF(AY33=1,COUNTIF($AY$11:AY33,1),"")</f>
        <v/>
      </c>
      <c r="BC33" s="1">
        <f>IF(Z33&lt;('[1]DCDC Ref'!$J$24/'[1]DCDC Ref'!$J$26)*'[1]DCDC Ref'!$J$28/100,0,1)</f>
        <v>1</v>
      </c>
      <c r="BD33" s="66">
        <f>IF(BC33=1000000000,"",('All Data'!Q33-'[1]DCDC Ref'!$J$30)/'[1]DCDC Ref'!$J$30*100)</f>
        <v>137.36263736263737</v>
      </c>
      <c r="BE33" s="67">
        <f t="shared" si="3"/>
        <v>137.36263736263737</v>
      </c>
      <c r="BF33" s="67"/>
      <c r="BG33" s="66"/>
      <c r="BH33" s="68">
        <f t="shared" si="0"/>
        <v>0</v>
      </c>
      <c r="BI33" s="67"/>
      <c r="BJ33" s="1">
        <f>IF(BC33=0,"",('All Data'!Z33-'[1]DCDC Ref'!$J$28*('[1]DCDC Ref'!$J$29/100))/'[1]DCDC Ref'!$J$28*('[1]DCDC Ref'!$J$29/100)*100)</f>
        <v>7.5862068965517127</v>
      </c>
      <c r="BK33" s="68">
        <f t="shared" si="1"/>
        <v>7.5862068965517127</v>
      </c>
      <c r="BL33" s="68"/>
      <c r="BM33" s="68"/>
      <c r="BN33" s="68"/>
      <c r="BO33" s="68"/>
      <c r="BQ33" s="5">
        <f t="shared" si="4"/>
        <v>686851.11784766964</v>
      </c>
      <c r="BR33" s="5">
        <f>IF(BQ33="","",RANK(BQ33,BQ$11:BQ$9930,1)+COUNTIF(BQ$11:BQ33,BQ33)-1)</f>
        <v>30</v>
      </c>
      <c r="BS33" s="69">
        <f t="shared" si="2"/>
        <v>30</v>
      </c>
      <c r="BT33" s="1" t="str">
        <f>IFERROR(INDEX($O$11:$O$1013,MATCH(ROWS($BS$11:BS33),$BS$11:$BS$1005,0)),"")</f>
        <v>ETQP4M1R0KVC</v>
      </c>
      <c r="BU33" s="69" t="str">
        <f t="shared" si="5"/>
        <v>ETQP4M1R0KVC</v>
      </c>
    </row>
    <row r="34" spans="1:73" ht="15">
      <c r="A34" s="1">
        <v>68</v>
      </c>
      <c r="B34" s="28" t="s">
        <v>109</v>
      </c>
      <c r="D34" s="1" t="s">
        <v>110</v>
      </c>
      <c r="E34" s="58"/>
      <c r="F34" s="1" t="s">
        <v>111</v>
      </c>
      <c r="G34" s="2" t="s">
        <v>112</v>
      </c>
      <c r="H34" s="1" t="s">
        <v>113</v>
      </c>
      <c r="I34" s="2" t="s">
        <v>114</v>
      </c>
      <c r="J34" s="1" t="s">
        <v>115</v>
      </c>
      <c r="K34" s="1" t="s">
        <v>134</v>
      </c>
      <c r="L34" s="1" t="s">
        <v>164</v>
      </c>
      <c r="M34" s="1" t="s">
        <v>165</v>
      </c>
      <c r="N34" s="1" t="s">
        <v>119</v>
      </c>
      <c r="O34" s="59" t="s">
        <v>207</v>
      </c>
      <c r="P34" s="60" t="str">
        <f>MID(All_PCC_a[[#This Row],[Part Number]],7,3)</f>
        <v>1R5</v>
      </c>
      <c r="Q34" s="61">
        <v>1.5</v>
      </c>
      <c r="R34" s="61" t="str">
        <f>IF(All_PCC_a[[#This Row],[Lo (uH)]]&lt;1,"&lt;1",IF(All_PCC_a[[#This Row],[Lo (uH)]]&lt;10,"&lt;10",IF(All_PCC_a[[#This Row],[Lo (uH)]]&lt;100,"&lt;100",IF(All_PCC_a[[#This Row],[Lo (uH)]]&lt;2000,"&lt;2000",""))))</f>
        <v>&lt;10</v>
      </c>
      <c r="S34" s="61" t="str">
        <f>IFERROR(VLOOKUP(All_PCC_a[[#This Row],[Lo (uH)]],[1]Utility!$D$5:$E$43,2,1),"-")</f>
        <v>≤   2</v>
      </c>
      <c r="T34" s="62">
        <v>0.2</v>
      </c>
      <c r="U34" s="63">
        <v>11</v>
      </c>
      <c r="V34" s="63">
        <v>12.100000000000001</v>
      </c>
      <c r="W34" s="61">
        <v>10</v>
      </c>
      <c r="X34" s="61">
        <v>9.1</v>
      </c>
      <c r="Y34" s="61">
        <v>7.4</v>
      </c>
      <c r="Z34" s="64">
        <v>14.2</v>
      </c>
      <c r="AA34" s="61">
        <v>10.37</v>
      </c>
      <c r="AB34" s="1">
        <v>6.4</v>
      </c>
      <c r="AC34" s="1">
        <v>6</v>
      </c>
      <c r="AD34" s="61">
        <v>3</v>
      </c>
      <c r="AE34" s="1">
        <f>ROUND(All_PCC_a[[#This Row],[L (mm)]]*All_PCC_a[[#This Row],[W (mm)]],1)</f>
        <v>38.4</v>
      </c>
      <c r="AF34" s="61" t="str">
        <f>All_PCC_a[[#This Row],[L (mm)]]&amp;"  x  "&amp;All_PCC_a[[#This Row],[W (mm)]]</f>
        <v>6,4  x  6</v>
      </c>
      <c r="AG34" s="65" t="s">
        <v>156</v>
      </c>
      <c r="AH34" s="61" t="str">
        <f>IF(All_PCC_a[[#This Row],[Max Height (mm)]]&lt;=9,"≤ "&amp;ROUNDUP(AD34,0),"≤"&amp;ROUNDUP(AD34,0))</f>
        <v>≤ 3</v>
      </c>
      <c r="AI34" s="1">
        <v>-55</v>
      </c>
      <c r="AJ34" s="1">
        <v>155</v>
      </c>
      <c r="AK34" s="1" t="str">
        <f>All_PCC_a[[#This Row],[Min Temp (deg.C)]]&amp;" to +"&amp;All_PCC_a[[#This Row],[Max Temp (deg.C)]]</f>
        <v>-55 to +155</v>
      </c>
      <c r="AL34" s="1"/>
      <c r="AO34" s="61" t="s">
        <v>122</v>
      </c>
      <c r="AP34" s="61" t="str">
        <f t="shared" si="6"/>
        <v>-</v>
      </c>
      <c r="AQ34" s="61" t="s">
        <v>122</v>
      </c>
      <c r="AR34" s="61" t="s">
        <v>122</v>
      </c>
      <c r="AS34" s="1" t="s">
        <v>208</v>
      </c>
      <c r="AT34" s="1" t="s">
        <v>140</v>
      </c>
      <c r="AU34" s="1" t="e" vm="1">
        <f ca="1">_xlfn.IMAGE(All_PCC_a[[#This Row],[Image URL]])</f>
        <v>#NAME?</v>
      </c>
      <c r="AW34" s="1"/>
      <c r="AY34" s="1"/>
      <c r="AZ34" s="1" t="str">
        <f>IF(AY34=1,COUNTIF($AY$11:AY34,1),"")</f>
        <v/>
      </c>
      <c r="BC34" s="1">
        <f>IF(Z34&lt;('[1]DCDC Ref'!$J$24/'[1]DCDC Ref'!$J$26)*'[1]DCDC Ref'!$J$28/100,0,1)</f>
        <v>1</v>
      </c>
      <c r="BD34" s="66">
        <f>IF(BC34=1000000000,"",('All Data'!Q34-'[1]DCDC Ref'!$J$30)/'[1]DCDC Ref'!$J$30*100)</f>
        <v>137.36263736263737</v>
      </c>
      <c r="BE34" s="67">
        <f t="shared" si="3"/>
        <v>137.36263736263737</v>
      </c>
      <c r="BF34" s="67"/>
      <c r="BG34" s="66"/>
      <c r="BH34" s="68">
        <f t="shared" si="0"/>
        <v>0</v>
      </c>
      <c r="BI34" s="67"/>
      <c r="BJ34" s="1">
        <f>IF(BC34=0,"",('All Data'!Z34-'[1]DCDC Ref'!$J$28*('[1]DCDC Ref'!$J$29/100))/'[1]DCDC Ref'!$J$28*('[1]DCDC Ref'!$J$29/100)*100)</f>
        <v>27.310344827586185</v>
      </c>
      <c r="BK34" s="68">
        <f t="shared" si="1"/>
        <v>27.310344827586185</v>
      </c>
      <c r="BL34" s="68"/>
      <c r="BM34" s="68"/>
      <c r="BN34" s="68"/>
      <c r="BO34" s="68"/>
      <c r="BQ34" s="5">
        <f t="shared" si="4"/>
        <v>686949.73853732483</v>
      </c>
      <c r="BR34" s="5">
        <f>IF(BQ34="","",RANK(BQ34,BQ$11:BQ$9930,1)+COUNTIF(BQ$11:BQ34,BQ34)-1)</f>
        <v>31</v>
      </c>
      <c r="BS34" s="69">
        <f t="shared" si="2"/>
        <v>31</v>
      </c>
      <c r="BT34" s="1" t="str">
        <f>IFERROR(INDEX($O$11:$O$1013,MATCH(ROWS($BS$11:BS34),$BS$11:$BS$1005,0)),"")</f>
        <v>ETQP5M1R0YLC</v>
      </c>
      <c r="BU34" s="69" t="str">
        <f t="shared" si="5"/>
        <v>ETQP5M1R0YLC</v>
      </c>
    </row>
    <row r="35" spans="1:73" ht="15">
      <c r="A35" s="1">
        <v>79</v>
      </c>
      <c r="B35" s="28" t="s">
        <v>109</v>
      </c>
      <c r="D35" s="1" t="s">
        <v>110</v>
      </c>
      <c r="E35" s="58"/>
      <c r="F35" s="1" t="s">
        <v>111</v>
      </c>
      <c r="G35" s="2" t="s">
        <v>112</v>
      </c>
      <c r="H35" s="1" t="s">
        <v>113</v>
      </c>
      <c r="I35" s="2" t="s">
        <v>114</v>
      </c>
      <c r="J35" s="1" t="s">
        <v>115</v>
      </c>
      <c r="K35" s="1" t="s">
        <v>134</v>
      </c>
      <c r="L35" s="1" t="s">
        <v>168</v>
      </c>
      <c r="M35" s="1" t="s">
        <v>169</v>
      </c>
      <c r="N35" s="1" t="s">
        <v>119</v>
      </c>
      <c r="O35" s="59" t="s">
        <v>209</v>
      </c>
      <c r="P35" s="60" t="str">
        <f>MID(All_PCC_a[[#This Row],[Part Number]],7,3)</f>
        <v>1R5</v>
      </c>
      <c r="Q35" s="61">
        <v>1.5</v>
      </c>
      <c r="R35" s="61" t="str">
        <f>IF(All_PCC_a[[#This Row],[Lo (uH)]]&lt;1,"&lt;1",IF(All_PCC_a[[#This Row],[Lo (uH)]]&lt;10,"&lt;10",IF(All_PCC_a[[#This Row],[Lo (uH)]]&lt;100,"&lt;100",IF(All_PCC_a[[#This Row],[Lo (uH)]]&lt;2000,"&lt;2000",""))))</f>
        <v>&lt;10</v>
      </c>
      <c r="S35" s="61" t="str">
        <f>IFERROR(VLOOKUP(All_PCC_a[[#This Row],[Lo (uH)]],[1]Utility!$D$5:$E$43,2,1),"-")</f>
        <v>≤   2</v>
      </c>
      <c r="T35" s="62">
        <v>0.2</v>
      </c>
      <c r="U35" s="63">
        <v>4.9000000000000004</v>
      </c>
      <c r="V35" s="63">
        <v>5.3900000000000006</v>
      </c>
      <c r="W35" s="61">
        <v>10</v>
      </c>
      <c r="X35" s="61">
        <v>15.1</v>
      </c>
      <c r="Y35" s="61">
        <v>12.8</v>
      </c>
      <c r="Z35" s="64">
        <v>22.5</v>
      </c>
      <c r="AA35" s="61">
        <v>17.559999999999999</v>
      </c>
      <c r="AB35" s="1">
        <v>8.4</v>
      </c>
      <c r="AC35" s="1">
        <v>8</v>
      </c>
      <c r="AD35" s="61">
        <v>4</v>
      </c>
      <c r="AE35" s="1">
        <f>ROUND(All_PCC_a[[#This Row],[L (mm)]]*All_PCC_a[[#This Row],[W (mm)]],1)</f>
        <v>67.2</v>
      </c>
      <c r="AF35" s="61" t="str">
        <f>All_PCC_a[[#This Row],[L (mm)]]&amp;"  x  "&amp;All_PCC_a[[#This Row],[W (mm)]]</f>
        <v>8,4  x  8</v>
      </c>
      <c r="AG35" s="76" t="s">
        <v>171</v>
      </c>
      <c r="AH35" s="61" t="str">
        <f>IF(All_PCC_a[[#This Row],[Max Height (mm)]]&lt;=9,"≤ "&amp;ROUNDUP(AD35,0),"≤"&amp;ROUNDUP(AD35,0))</f>
        <v>≤ 4</v>
      </c>
      <c r="AI35" s="1">
        <v>-55</v>
      </c>
      <c r="AJ35" s="1">
        <v>155</v>
      </c>
      <c r="AK35" s="1" t="str">
        <f>All_PCC_a[[#This Row],[Min Temp (deg.C)]]&amp;" to +"&amp;All_PCC_a[[#This Row],[Max Temp (deg.C)]]</f>
        <v>-55 to +155</v>
      </c>
      <c r="AL35" s="1"/>
      <c r="AO35" s="61" t="s">
        <v>122</v>
      </c>
      <c r="AP35" s="61" t="str">
        <f t="shared" si="6"/>
        <v>-</v>
      </c>
      <c r="AQ35" s="61" t="s">
        <v>122</v>
      </c>
      <c r="AR35" s="61" t="s">
        <v>122</v>
      </c>
      <c r="AS35" s="1" t="s">
        <v>210</v>
      </c>
      <c r="AT35" s="1" t="s">
        <v>140</v>
      </c>
      <c r="AU35" s="1" t="e" vm="1">
        <f ca="1">_xlfn.IMAGE(All_PCC_a[[#This Row],[Image URL]])</f>
        <v>#NAME?</v>
      </c>
      <c r="AW35" s="1"/>
      <c r="AY35" s="1"/>
      <c r="AZ35" s="1" t="str">
        <f>IF(AY35=1,COUNTIF($AY$11:AY35,1),"")</f>
        <v/>
      </c>
      <c r="BC35" s="1">
        <f>IF(Z35&lt;('[1]DCDC Ref'!$J$24/'[1]DCDC Ref'!$J$26)*'[1]DCDC Ref'!$J$28/100,0,1)</f>
        <v>1</v>
      </c>
      <c r="BD35" s="66">
        <f>IF(BC35=1000000000,"",('All Data'!Q35-'[1]DCDC Ref'!$J$30)/'[1]DCDC Ref'!$J$30*100)</f>
        <v>137.36263736263737</v>
      </c>
      <c r="BE35" s="67">
        <f t="shared" si="3"/>
        <v>137.36263736263737</v>
      </c>
      <c r="BF35" s="67"/>
      <c r="BG35" s="66"/>
      <c r="BH35" s="68">
        <f t="shared" si="0"/>
        <v>0</v>
      </c>
      <c r="BI35" s="67"/>
      <c r="BJ35" s="1">
        <f>IF(BC35=0,"",('All Data'!Z35-'[1]DCDC Ref'!$J$28*('[1]DCDC Ref'!$J$29/100))/'[1]DCDC Ref'!$J$28*('[1]DCDC Ref'!$J$29/100)*100)</f>
        <v>101.72413793103445</v>
      </c>
      <c r="BK35" s="68">
        <f t="shared" si="1"/>
        <v>101.72413793103445</v>
      </c>
      <c r="BL35" s="68"/>
      <c r="BM35" s="68"/>
      <c r="BN35" s="68"/>
      <c r="BO35" s="68"/>
      <c r="BQ35" s="5">
        <f t="shared" si="4"/>
        <v>687321.80750284204</v>
      </c>
      <c r="BR35" s="5">
        <f>IF(BQ35="","",RANK(BQ35,BQ$11:BQ$9930,1)+COUNTIF(BQ$11:BQ35,BQ35)-1)</f>
        <v>33</v>
      </c>
      <c r="BS35" s="69">
        <f t="shared" si="2"/>
        <v>33</v>
      </c>
      <c r="BT35" s="1" t="str">
        <f>IFERROR(INDEX($O$11:$O$1013,MATCH(ROWS($BS$11:BS35),$BS$11:$BS$1005,0)),"")</f>
        <v>ETQP8M1R0JFA</v>
      </c>
      <c r="BU35" s="69" t="str">
        <f t="shared" si="5"/>
        <v>ETQP8M1R0JFA</v>
      </c>
    </row>
    <row r="36" spans="1:73" ht="15">
      <c r="A36" s="1">
        <v>91</v>
      </c>
      <c r="B36" s="28" t="s">
        <v>109</v>
      </c>
      <c r="D36" s="1" t="s">
        <v>110</v>
      </c>
      <c r="E36" s="58"/>
      <c r="F36" s="1" t="s">
        <v>111</v>
      </c>
      <c r="G36" s="2" t="s">
        <v>112</v>
      </c>
      <c r="H36" s="1" t="s">
        <v>113</v>
      </c>
      <c r="I36" s="2" t="s">
        <v>114</v>
      </c>
      <c r="J36" s="1" t="s">
        <v>115</v>
      </c>
      <c r="K36" s="1" t="s">
        <v>134</v>
      </c>
      <c r="L36" s="1" t="s">
        <v>191</v>
      </c>
      <c r="M36" s="1" t="s">
        <v>192</v>
      </c>
      <c r="N36" s="1" t="s">
        <v>119</v>
      </c>
      <c r="O36" s="59" t="s">
        <v>211</v>
      </c>
      <c r="P36" s="60" t="str">
        <f>MID(All_PCC_a[[#This Row],[Part Number]],7,3)</f>
        <v>1R5</v>
      </c>
      <c r="Q36" s="61">
        <v>1.5</v>
      </c>
      <c r="R36" s="61" t="str">
        <f>IF(All_PCC_a[[#This Row],[Lo (uH)]]&lt;1,"&lt;1",IF(All_PCC_a[[#This Row],[Lo (uH)]]&lt;10,"&lt;10",IF(All_PCC_a[[#This Row],[Lo (uH)]]&lt;100,"&lt;100",IF(All_PCC_a[[#This Row],[Lo (uH)]]&lt;2000,"&lt;2000",""))))</f>
        <v>&lt;10</v>
      </c>
      <c r="S36" s="61" t="str">
        <f>IFERROR(VLOOKUP(All_PCC_a[[#This Row],[Lo (uH)]],[1]Utility!$D$5:$E$43,2,1),"-")</f>
        <v>≤   2</v>
      </c>
      <c r="T36" s="62">
        <v>0.2</v>
      </c>
      <c r="U36" s="63">
        <v>4.9000000000000004</v>
      </c>
      <c r="V36" s="63">
        <v>5.3900000000000006</v>
      </c>
      <c r="W36" s="61">
        <v>10</v>
      </c>
      <c r="X36" s="61">
        <v>17.399999999999999</v>
      </c>
      <c r="Y36" s="86">
        <v>14.3</v>
      </c>
      <c r="Z36" s="87">
        <v>25</v>
      </c>
      <c r="AA36" s="61">
        <v>19.36</v>
      </c>
      <c r="AB36" s="1">
        <v>10.7</v>
      </c>
      <c r="AC36" s="1">
        <v>10</v>
      </c>
      <c r="AD36" s="61">
        <v>4</v>
      </c>
      <c r="AE36" s="1">
        <f>ROUND(All_PCC_a[[#This Row],[L (mm)]]*All_PCC_a[[#This Row],[W (mm)]],1)</f>
        <v>107</v>
      </c>
      <c r="AF36" s="61" t="str">
        <f>All_PCC_a[[#This Row],[L (mm)]]&amp;"  x  "&amp;All_PCC_a[[#This Row],[W (mm)]]</f>
        <v>10,7  x  10</v>
      </c>
      <c r="AG36" s="65" t="s">
        <v>121</v>
      </c>
      <c r="AH36" s="61" t="str">
        <f>IF(All_PCC_a[[#This Row],[Max Height (mm)]]&lt;=9,"≤ "&amp;ROUNDUP(AD36,0),"≤"&amp;ROUNDUP(AD36,0))</f>
        <v>≤ 4</v>
      </c>
      <c r="AI36" s="1">
        <v>-55</v>
      </c>
      <c r="AJ36" s="1">
        <v>155</v>
      </c>
      <c r="AK36" s="1" t="str">
        <f>All_PCC_a[[#This Row],[Min Temp (deg.C)]]&amp;" to +"&amp;All_PCC_a[[#This Row],[Max Temp (deg.C)]]</f>
        <v>-55 to +155</v>
      </c>
      <c r="AL36" s="1"/>
      <c r="AO36" s="61" t="s">
        <v>122</v>
      </c>
      <c r="AP36" s="61" t="str">
        <f t="shared" si="6"/>
        <v>-</v>
      </c>
      <c r="AQ36" s="61" t="s">
        <v>122</v>
      </c>
      <c r="AR36" s="61" t="s">
        <v>122</v>
      </c>
      <c r="AS36" s="1" t="s">
        <v>212</v>
      </c>
      <c r="AT36" s="1" t="s">
        <v>140</v>
      </c>
      <c r="AU36" s="1" t="e" vm="1">
        <f ca="1">_xlfn.IMAGE(All_PCC_a[[#This Row],[Image URL]])</f>
        <v>#NAME?</v>
      </c>
      <c r="AW36" s="1"/>
      <c r="AY36" s="1"/>
      <c r="BC36" s="1">
        <f>IF(Z36&lt;('[1]DCDC Ref'!$J$24/'[1]DCDC Ref'!$J$26)*'[1]DCDC Ref'!$J$28/100,0,1)</f>
        <v>1</v>
      </c>
      <c r="BD36" s="66">
        <f>IF(BC36=1000000000,"",('All Data'!Q36-'[1]DCDC Ref'!$J$30)/'[1]DCDC Ref'!$J$30*100)</f>
        <v>137.36263736263737</v>
      </c>
      <c r="BE36" s="67">
        <f t="shared" si="3"/>
        <v>137.36263736263737</v>
      </c>
      <c r="BF36" s="67"/>
      <c r="BG36" s="66"/>
      <c r="BH36" s="68">
        <f t="shared" si="0"/>
        <v>0</v>
      </c>
      <c r="BI36" s="67"/>
      <c r="BJ36" s="1">
        <f>IF(BC36=0,"",('All Data'!Z36-'[1]DCDC Ref'!$J$28*('[1]DCDC Ref'!$J$29/100))/'[1]DCDC Ref'!$J$28*('[1]DCDC Ref'!$J$29/100)*100)</f>
        <v>124.13793103448273</v>
      </c>
      <c r="BK36" s="68">
        <f t="shared" si="1"/>
        <v>124.13793103448273</v>
      </c>
      <c r="BL36" s="68"/>
      <c r="BM36" s="68"/>
      <c r="BN36" s="68"/>
      <c r="BO36" s="68"/>
      <c r="BQ36" s="5">
        <f t="shared" si="4"/>
        <v>687433.87646835926</v>
      </c>
      <c r="BR36" s="5">
        <f>IF(BQ36="","",RANK(BQ36,BQ$11:BQ$9930,1)+COUNTIF(BQ$11:BQ36,BQ36)-1)</f>
        <v>34</v>
      </c>
      <c r="BS36" s="69">
        <f t="shared" si="2"/>
        <v>34</v>
      </c>
      <c r="BT36" s="1" t="str">
        <f>IFERROR(INDEX($O$11:$O$1013,MATCH(ROWS($BS$11:BS36),$BS$11:$BS$1005,0)),"")</f>
        <v>ETQPAM1R0JFW</v>
      </c>
      <c r="BU36" s="69" t="str">
        <f t="shared" si="5"/>
        <v>ETQPAM1R0JFW</v>
      </c>
    </row>
    <row r="37" spans="1:73" ht="15">
      <c r="A37" s="1">
        <v>113</v>
      </c>
      <c r="B37" s="28" t="s">
        <v>109</v>
      </c>
      <c r="C37" s="1" t="s">
        <v>213</v>
      </c>
      <c r="D37" s="75" t="s">
        <v>110</v>
      </c>
      <c r="E37" s="78"/>
      <c r="F37" s="75" t="s">
        <v>111</v>
      </c>
      <c r="G37" s="79" t="s">
        <v>112</v>
      </c>
      <c r="H37" s="75" t="s">
        <v>113</v>
      </c>
      <c r="I37" s="79" t="s">
        <v>114</v>
      </c>
      <c r="J37" s="75" t="s">
        <v>115</v>
      </c>
      <c r="K37" s="75" t="s">
        <v>173</v>
      </c>
      <c r="L37" s="75" t="s">
        <v>174</v>
      </c>
      <c r="M37" s="75" t="s">
        <v>175</v>
      </c>
      <c r="N37" s="75" t="s">
        <v>119</v>
      </c>
      <c r="O37" s="59" t="s">
        <v>214</v>
      </c>
      <c r="P37" s="60" t="str">
        <f>MID(All_PCC_a[[#This Row],[Part Number]],7,3)</f>
        <v>2R0</v>
      </c>
      <c r="Q37" s="80">
        <v>1.9</v>
      </c>
      <c r="R37" s="71" t="str">
        <f>IF(All_PCC_a[[#This Row],[Lo (uH)]]&lt;1,"&lt;1",IF(All_PCC_a[[#This Row],[Lo (uH)]]&lt;10,"&lt;10",IF(All_PCC_a[[#This Row],[Lo (uH)]]&lt;100,"&lt;100",IF(All_PCC_a[[#This Row],[Lo (uH)]]&lt;2000,"&lt;2000",""))))</f>
        <v>&lt;10</v>
      </c>
      <c r="S37" s="61" t="str">
        <f>IFERROR(VLOOKUP(All_PCC_a[[#This Row],[Lo (uH)]],[1]Utility!$D$5:$E$43,2,1),"-")</f>
        <v>≤   2</v>
      </c>
      <c r="T37" s="72">
        <v>0.2</v>
      </c>
      <c r="U37" s="88">
        <v>4.45</v>
      </c>
      <c r="V37" s="88">
        <v>4.9000000000000004</v>
      </c>
      <c r="W37" s="80">
        <v>10</v>
      </c>
      <c r="X37" s="89">
        <v>19.8</v>
      </c>
      <c r="Y37" s="80">
        <v>16.5</v>
      </c>
      <c r="Z37" s="90">
        <v>29.8</v>
      </c>
      <c r="AA37" s="80">
        <v>21</v>
      </c>
      <c r="AB37" s="75">
        <v>10.9</v>
      </c>
      <c r="AC37" s="75">
        <v>10</v>
      </c>
      <c r="AD37" s="80">
        <v>5</v>
      </c>
      <c r="AE37" s="75">
        <f>ROUND(All_PCC_a[[#This Row],[L (mm)]]*All_PCC_a[[#This Row],[W (mm)]],1)</f>
        <v>109</v>
      </c>
      <c r="AF37" s="61" t="str">
        <f>All_PCC_a[[#This Row],[L (mm)]]&amp;"  x  "&amp;All_PCC_a[[#This Row],[W (mm)]]</f>
        <v>10,9  x  10</v>
      </c>
      <c r="AG37" s="74" t="s">
        <v>121</v>
      </c>
      <c r="AH37" s="61" t="str">
        <f>IF(All_PCC_a[[#This Row],[Max Height (mm)]]&lt;=9,"≤ "&amp;ROUNDUP(AD37,0),"≤"&amp;ROUNDUP(AD37,0))</f>
        <v>≤ 5</v>
      </c>
      <c r="AI37" s="75">
        <v>-40</v>
      </c>
      <c r="AJ37" s="75">
        <v>150</v>
      </c>
      <c r="AK37" s="1" t="str">
        <f>All_PCC_a[[#This Row],[Min Temp (deg.C)]]&amp;" to +"&amp;All_PCC_a[[#This Row],[Max Temp (deg.C)]]</f>
        <v>-40 to +150</v>
      </c>
      <c r="AL37" s="1"/>
      <c r="AO37" s="61" t="s">
        <v>122</v>
      </c>
      <c r="AP37" s="71" t="str">
        <f t="shared" si="6"/>
        <v>-</v>
      </c>
      <c r="AQ37" s="61" t="s">
        <v>122</v>
      </c>
      <c r="AR37" s="61" t="s">
        <v>122</v>
      </c>
      <c r="AS37" s="1" t="s">
        <v>215</v>
      </c>
      <c r="AT37" s="1" t="s">
        <v>124</v>
      </c>
      <c r="AU37" s="1" t="e" vm="1">
        <f ca="1">_xlfn.IMAGE(All_PCC_a[[#This Row],[Image URL]])</f>
        <v>#NAME?</v>
      </c>
      <c r="AW37" s="1"/>
      <c r="AY37" s="1"/>
      <c r="AZ37" s="1" t="str">
        <f>IF(AY37=1,COUNTIF($AY$11:AY37,1),"")</f>
        <v/>
      </c>
      <c r="BC37" s="1">
        <f>IF(Z37&lt;('[1]DCDC Ref'!$J$24/'[1]DCDC Ref'!$J$26)*'[1]DCDC Ref'!$J$28/100,0,1)</f>
        <v>1</v>
      </c>
      <c r="BD37" s="66">
        <f>IF(BC37=1000000000,"",('All Data'!Q37-'[1]DCDC Ref'!$J$30)/'[1]DCDC Ref'!$J$30*100)</f>
        <v>200.65934065934067</v>
      </c>
      <c r="BE37" s="67">
        <f t="shared" si="3"/>
        <v>200.65934065934067</v>
      </c>
      <c r="BF37" s="67"/>
      <c r="BG37" s="66"/>
      <c r="BH37" s="68">
        <f t="shared" si="0"/>
        <v>0</v>
      </c>
      <c r="BI37" s="67"/>
      <c r="BJ37" s="1">
        <f>IF(BC37=0,"",('All Data'!Z37-'[1]DCDC Ref'!$J$28*('[1]DCDC Ref'!$J$29/100))/'[1]DCDC Ref'!$J$28*('[1]DCDC Ref'!$J$29/100)*100)</f>
        <v>167.1724137931034</v>
      </c>
      <c r="BK37" s="68">
        <f t="shared" si="1"/>
        <v>167.1724137931034</v>
      </c>
      <c r="BL37" s="68"/>
      <c r="BM37" s="68"/>
      <c r="BN37" s="68"/>
      <c r="BO37" s="68"/>
      <c r="BQ37" s="5">
        <f t="shared" si="4"/>
        <v>1004132.565365669</v>
      </c>
      <c r="BR37" s="5">
        <f>IF(BQ37="","",RANK(BQ37,BQ$11:BQ$9930,1)+COUNTIF(BQ$11:BQ37,BQ37)-1)</f>
        <v>39</v>
      </c>
      <c r="BS37" s="69">
        <f t="shared" si="2"/>
        <v>39</v>
      </c>
      <c r="BT37" s="1" t="str">
        <f>IFERROR(INDEX($O$11:$O$1013,MATCH(ROWS($BS$11:BS37),$BS$11:$BS$1005,0)),"")</f>
        <v>ETQP5MR22CVM</v>
      </c>
      <c r="BU37" s="69" t="str">
        <f t="shared" si="5"/>
        <v>ETQP5MR22CVM</v>
      </c>
    </row>
    <row r="38" spans="1:73" ht="15">
      <c r="A38" s="1">
        <v>40</v>
      </c>
      <c r="B38" s="28" t="s">
        <v>109</v>
      </c>
      <c r="D38" s="1" t="s">
        <v>110</v>
      </c>
      <c r="E38" s="58"/>
      <c r="F38" s="1" t="s">
        <v>111</v>
      </c>
      <c r="G38" s="2" t="s">
        <v>112</v>
      </c>
      <c r="H38" s="1" t="s">
        <v>113</v>
      </c>
      <c r="I38" s="2" t="s">
        <v>114</v>
      </c>
      <c r="J38" s="1" t="s">
        <v>115</v>
      </c>
      <c r="K38" s="1" t="s">
        <v>116</v>
      </c>
      <c r="L38" s="1" t="s">
        <v>117</v>
      </c>
      <c r="M38" s="1" t="s">
        <v>118</v>
      </c>
      <c r="N38" s="1" t="s">
        <v>119</v>
      </c>
      <c r="O38" s="59" t="s">
        <v>216</v>
      </c>
      <c r="P38" s="60" t="str">
        <f>MID(All_PCC_a[[#This Row],[Part Number]],7,3)</f>
        <v>2R0</v>
      </c>
      <c r="Q38" s="61">
        <v>2</v>
      </c>
      <c r="R38" s="61" t="str">
        <f>IF(All_PCC_a[[#This Row],[Lo (uH)]]&lt;1,"&lt;1",IF(All_PCC_a[[#This Row],[Lo (uH)]]&lt;10,"&lt;10",IF(All_PCC_a[[#This Row],[Lo (uH)]]&lt;100,"&lt;100",IF(All_PCC_a[[#This Row],[Lo (uH)]]&lt;2000,"&lt;2000",""))))</f>
        <v>&lt;10</v>
      </c>
      <c r="S38" s="61" t="str">
        <f>IFERROR(VLOOKUP(All_PCC_a[[#This Row],[Lo (uH)]],[1]Utility!$D$5:$E$43,2,1),"-")</f>
        <v>≤   2</v>
      </c>
      <c r="T38" s="62">
        <v>0.2</v>
      </c>
      <c r="U38" s="63">
        <v>4.5999999999999996</v>
      </c>
      <c r="V38" s="63">
        <v>5.0599999999999996</v>
      </c>
      <c r="W38" s="61">
        <v>10</v>
      </c>
      <c r="X38" s="61">
        <v>19.399999999999999</v>
      </c>
      <c r="Y38" s="61">
        <v>16.2</v>
      </c>
      <c r="Z38" s="64">
        <v>31.3</v>
      </c>
      <c r="AA38" s="61">
        <v>22.17</v>
      </c>
      <c r="AB38" s="1">
        <v>10.9</v>
      </c>
      <c r="AC38" s="1">
        <v>10</v>
      </c>
      <c r="AD38" s="61">
        <v>5</v>
      </c>
      <c r="AE38" s="1">
        <f>ROUND(All_PCC_a[[#This Row],[L (mm)]]*All_PCC_a[[#This Row],[W (mm)]],1)</f>
        <v>109</v>
      </c>
      <c r="AF38" s="61" t="str">
        <f>All_PCC_a[[#This Row],[L (mm)]]&amp;"  x  "&amp;All_PCC_a[[#This Row],[W (mm)]]</f>
        <v>10,9  x  10</v>
      </c>
      <c r="AG38" s="65" t="s">
        <v>121</v>
      </c>
      <c r="AH38" s="61" t="str">
        <f>IF(All_PCC_a[[#This Row],[Max Height (mm)]]&lt;=9,"≤ "&amp;ROUNDUP(AD38,0),"≤"&amp;ROUNDUP(AD38,0))</f>
        <v>≤ 5</v>
      </c>
      <c r="AI38" s="1">
        <v>-40</v>
      </c>
      <c r="AJ38" s="1">
        <v>150</v>
      </c>
      <c r="AK38" s="1" t="str">
        <f>All_PCC_a[[#This Row],[Min Temp (deg.C)]]&amp;" to +"&amp;All_PCC_a[[#This Row],[Max Temp (deg.C)]]</f>
        <v>-40 to +150</v>
      </c>
      <c r="AL38" s="1"/>
      <c r="AO38" s="61" t="s">
        <v>122</v>
      </c>
      <c r="AP38" s="61" t="str">
        <f t="shared" si="6"/>
        <v>-</v>
      </c>
      <c r="AQ38" s="61" t="s">
        <v>122</v>
      </c>
      <c r="AR38" s="61" t="s">
        <v>122</v>
      </c>
      <c r="AS38" s="1" t="s">
        <v>217</v>
      </c>
      <c r="AT38" s="1" t="s">
        <v>124</v>
      </c>
      <c r="AU38" s="1" t="e" vm="1">
        <f ca="1">_xlfn.IMAGE(All_PCC_a[[#This Row],[Image URL]])</f>
        <v>#NAME?</v>
      </c>
      <c r="AW38" s="1"/>
      <c r="AY38" s="1"/>
      <c r="AZ38" s="1" t="str">
        <f>IF(AY38=1,COUNTIF($AY$11:AY38,1),"")</f>
        <v/>
      </c>
      <c r="BC38" s="1">
        <f>IF(Z38&lt;('[1]DCDC Ref'!$J$24/'[1]DCDC Ref'!$J$26)*'[1]DCDC Ref'!$J$28/100,0,1)</f>
        <v>1</v>
      </c>
      <c r="BD38" s="66">
        <f>IF(BC38=1000000000,"",('All Data'!Q38-'[1]DCDC Ref'!$J$30)/'[1]DCDC Ref'!$J$30*100)</f>
        <v>216.48351648351652</v>
      </c>
      <c r="BE38" s="67">
        <f t="shared" si="3"/>
        <v>216.48351648351652</v>
      </c>
      <c r="BF38" s="67"/>
      <c r="BG38" s="66"/>
      <c r="BH38" s="68">
        <f t="shared" si="0"/>
        <v>0</v>
      </c>
      <c r="BI38" s="67"/>
      <c r="BJ38" s="1">
        <f>IF(BC38=0,"",('All Data'!Z38-'[1]DCDC Ref'!$J$28*('[1]DCDC Ref'!$J$29/100))/'[1]DCDC Ref'!$J$28*('[1]DCDC Ref'!$J$29/100)*100)</f>
        <v>180.62068965517238</v>
      </c>
      <c r="BK38" s="68">
        <f t="shared" si="1"/>
        <v>180.62068965517238</v>
      </c>
      <c r="BL38" s="68"/>
      <c r="BM38" s="68"/>
      <c r="BN38" s="68"/>
      <c r="BO38" s="68"/>
      <c r="BQ38" s="5">
        <f t="shared" si="4"/>
        <v>1083320.6858658586</v>
      </c>
      <c r="BR38" s="5">
        <f>IF(BQ38="","",RANK(BQ38,BQ$11:BQ$9930,1)+COUNTIF(BQ$11:BQ38,BQ38)-1)</f>
        <v>40</v>
      </c>
      <c r="BS38" s="69">
        <f t="shared" si="2"/>
        <v>40</v>
      </c>
      <c r="BT38" s="1" t="str">
        <f>IFERROR(INDEX($O$11:$O$1013,MATCH(ROWS($BS$11:BS38),$BS$11:$BS$1005,0)),"")</f>
        <v>ETQP3MR10KVP</v>
      </c>
      <c r="BU38" s="69" t="str">
        <f t="shared" si="5"/>
        <v>ETQP3MR10KVP</v>
      </c>
    </row>
    <row r="39" spans="1:73">
      <c r="A39" s="1">
        <v>9</v>
      </c>
      <c r="B39" s="28" t="s">
        <v>109</v>
      </c>
      <c r="D39" s="1" t="s">
        <v>110</v>
      </c>
      <c r="E39" s="58"/>
      <c r="F39" s="1" t="s">
        <v>111</v>
      </c>
      <c r="G39" s="2" t="s">
        <v>112</v>
      </c>
      <c r="H39" s="1" t="s">
        <v>113</v>
      </c>
      <c r="I39" s="2" t="s">
        <v>114</v>
      </c>
      <c r="J39" s="1" t="s">
        <v>115</v>
      </c>
      <c r="K39" s="1" t="s">
        <v>116</v>
      </c>
      <c r="L39" s="1" t="s">
        <v>218</v>
      </c>
      <c r="M39" s="1" t="s">
        <v>219</v>
      </c>
      <c r="N39" s="1" t="s">
        <v>154</v>
      </c>
      <c r="O39" s="59" t="s">
        <v>220</v>
      </c>
      <c r="P39" s="60" t="str">
        <f>MID(All_PCC_a[[#This Row],[Part Number]],7,3)</f>
        <v>2R2</v>
      </c>
      <c r="Q39" s="85">
        <v>2.2000000000000002</v>
      </c>
      <c r="R39" s="61" t="str">
        <f>IF(All_PCC_a[[#This Row],[Lo (uH)]]&lt;1,"&lt;1",IF(All_PCC_a[[#This Row],[Lo (uH)]]&lt;10,"&lt;10",IF(All_PCC_a[[#This Row],[Lo (uH)]]&lt;100,"&lt;100",IF(All_PCC_a[[#This Row],[Lo (uH)]]&lt;2000,"&lt;2000",""))))</f>
        <v>&lt;10</v>
      </c>
      <c r="S39" s="61" t="str">
        <f>IFERROR(VLOOKUP(All_PCC_a[[#This Row],[Lo (uH)]],[1]Utility!$D$5:$E$43,2,1),"-")</f>
        <v>≤   3</v>
      </c>
      <c r="T39" s="62">
        <v>0.2</v>
      </c>
      <c r="U39" s="70">
        <v>22.6</v>
      </c>
      <c r="V39" s="70">
        <v>24.8</v>
      </c>
      <c r="W39" s="61">
        <v>10</v>
      </c>
      <c r="X39" s="61">
        <v>5.8</v>
      </c>
      <c r="Y39" s="61">
        <v>4.8</v>
      </c>
      <c r="Z39" s="64">
        <v>10.9</v>
      </c>
      <c r="AA39" s="61">
        <f>ROUND(7.95610619469026,2)</f>
        <v>7.96</v>
      </c>
      <c r="AB39" s="1">
        <v>5.5</v>
      </c>
      <c r="AC39" s="1">
        <v>5</v>
      </c>
      <c r="AD39" s="61">
        <v>3</v>
      </c>
      <c r="AE39" s="1">
        <f>ROUND(All_PCC_a[[#This Row],[L (mm)]]*All_PCC_a[[#This Row],[W (mm)]],1)</f>
        <v>27.5</v>
      </c>
      <c r="AF39" s="61" t="str">
        <f>All_PCC_a[[#This Row],[L (mm)]]&amp;"  x  "&amp;All_PCC_a[[#This Row],[W (mm)]]</f>
        <v>5,5  x  5</v>
      </c>
      <c r="AG39" s="65" t="s">
        <v>138</v>
      </c>
      <c r="AH39" s="61" t="str">
        <f>IF(All_PCC_a[[#This Row],[Max Height (mm)]]&lt;=9,"≤ "&amp;ROUNDUP(AD39,0),"≤"&amp;ROUNDUP(AD39,0))</f>
        <v>≤ 3</v>
      </c>
      <c r="AI39" s="11">
        <v>-40</v>
      </c>
      <c r="AJ39" s="11">
        <v>150</v>
      </c>
      <c r="AK39" s="1" t="str">
        <f>All_PCC_a[[#This Row],[Min Temp (deg.C)]]&amp;" to +"&amp;All_PCC_a[[#This Row],[Max Temp (deg.C)]]</f>
        <v>-40 to +150</v>
      </c>
      <c r="AL39" s="1"/>
      <c r="AO39" s="61" t="s">
        <v>144</v>
      </c>
      <c r="AP39" s="61" t="str">
        <f t="shared" si="6"/>
        <v>-</v>
      </c>
      <c r="AQ39" s="62" t="s">
        <v>122</v>
      </c>
      <c r="AR39" s="61" t="s">
        <v>122</v>
      </c>
      <c r="AS39" s="1" t="s">
        <v>221</v>
      </c>
      <c r="AT39" s="1" t="s">
        <v>124</v>
      </c>
      <c r="AU39" s="1" t="e" vm="1">
        <f ca="1">_xlfn.IMAGE(All_PCC_a[[#This Row],[Image URL]])</f>
        <v>#NAME?</v>
      </c>
      <c r="AW39" s="1"/>
      <c r="AY39" s="1"/>
      <c r="AZ39" s="1" t="str">
        <f>IF(AY39=1,COUNTIF($AY$11:AY39,1),"")</f>
        <v/>
      </c>
      <c r="BC39" s="1">
        <f>IF(Z39&lt;('[1]DCDC Ref'!$J$24/'[1]DCDC Ref'!$J$26)*'[1]DCDC Ref'!$J$28/100,0,1)</f>
        <v>1</v>
      </c>
      <c r="BD39" s="66">
        <f>IF(BC39=1000000000,"",('All Data'!Q39-'[1]DCDC Ref'!$J$30)/'[1]DCDC Ref'!$J$30*100)</f>
        <v>248.13186813186817</v>
      </c>
      <c r="BE39" s="67">
        <f t="shared" si="3"/>
        <v>248.13186813186817</v>
      </c>
      <c r="BF39" s="67"/>
      <c r="BG39" s="66"/>
      <c r="BH39" s="68">
        <f t="shared" si="0"/>
        <v>0</v>
      </c>
      <c r="BI39" s="67"/>
      <c r="BJ39" s="1">
        <f>IF(BC39=0,"",('All Data'!Z39-'[1]DCDC Ref'!$J$28*('[1]DCDC Ref'!$J$29/100))/'[1]DCDC Ref'!$J$28*('[1]DCDC Ref'!$J$29/100)*100)</f>
        <v>-2.2758620689655249</v>
      </c>
      <c r="BK39" s="68">
        <f t="shared" si="1"/>
        <v>10000</v>
      </c>
      <c r="BL39" s="68"/>
      <c r="BM39" s="68"/>
      <c r="BN39" s="68"/>
      <c r="BO39" s="68"/>
      <c r="BQ39" s="5">
        <f t="shared" si="4"/>
        <v>1290659.3406593408</v>
      </c>
      <c r="BR39" s="5">
        <f>IF(BQ39="","",RANK(BQ39,BQ$11:BQ$9930,1)+COUNTIF(BQ$11:BQ39,BQ39)-1)</f>
        <v>46</v>
      </c>
      <c r="BS39" s="69">
        <f t="shared" si="2"/>
        <v>46</v>
      </c>
      <c r="BT39" s="1" t="str">
        <f>IFERROR(INDEX($O$11:$O$1013,MATCH(ROWS($BS$11:BS39),$BS$11:$BS$1005,0)),"")</f>
        <v>ETQP4M1R2KFM</v>
      </c>
      <c r="BU39" s="69" t="str">
        <f t="shared" si="5"/>
        <v>ETQP4M1R2KFM</v>
      </c>
    </row>
    <row r="40" spans="1:73" ht="15">
      <c r="A40" s="1">
        <v>56</v>
      </c>
      <c r="B40" s="28" t="s">
        <v>109</v>
      </c>
      <c r="D40" s="1" t="s">
        <v>110</v>
      </c>
      <c r="E40" s="58"/>
      <c r="F40" s="1" t="s">
        <v>111</v>
      </c>
      <c r="G40" s="2" t="s">
        <v>112</v>
      </c>
      <c r="H40" s="1" t="s">
        <v>113</v>
      </c>
      <c r="I40" s="2" t="s">
        <v>114</v>
      </c>
      <c r="J40" s="1" t="s">
        <v>115</v>
      </c>
      <c r="K40" s="1" t="s">
        <v>134</v>
      </c>
      <c r="L40" s="1" t="s">
        <v>135</v>
      </c>
      <c r="M40" s="1" t="s">
        <v>136</v>
      </c>
      <c r="N40" s="1" t="s">
        <v>119</v>
      </c>
      <c r="O40" s="59" t="s">
        <v>222</v>
      </c>
      <c r="P40" s="60" t="str">
        <f>MID(All_PCC_a[[#This Row],[Part Number]],7,3)</f>
        <v>2R2</v>
      </c>
      <c r="Q40" s="61">
        <v>2.2000000000000002</v>
      </c>
      <c r="R40" s="61" t="str">
        <f>IF(All_PCC_a[[#This Row],[Lo (uH)]]&lt;1,"&lt;1",IF(All_PCC_a[[#This Row],[Lo (uH)]]&lt;10,"&lt;10",IF(All_PCC_a[[#This Row],[Lo (uH)]]&lt;100,"&lt;100",IF(All_PCC_a[[#This Row],[Lo (uH)]]&lt;2000,"&lt;2000",""))))</f>
        <v>&lt;10</v>
      </c>
      <c r="S40" s="61" t="str">
        <f>IFERROR(VLOOKUP(All_PCC_a[[#This Row],[Lo (uH)]],[1]Utility!$D$5:$E$43,2,1),"-")</f>
        <v>≤   3</v>
      </c>
      <c r="T40" s="62">
        <v>0.2</v>
      </c>
      <c r="U40" s="63">
        <v>20</v>
      </c>
      <c r="V40" s="63">
        <v>22</v>
      </c>
      <c r="W40" s="61">
        <v>10</v>
      </c>
      <c r="X40" s="61">
        <v>6.3</v>
      </c>
      <c r="Y40" s="61">
        <v>5.2</v>
      </c>
      <c r="Z40" s="64">
        <v>10.1</v>
      </c>
      <c r="AA40" s="61">
        <v>7.38</v>
      </c>
      <c r="AB40" s="1">
        <v>5.5</v>
      </c>
      <c r="AC40" s="1">
        <v>5</v>
      </c>
      <c r="AD40" s="61">
        <v>3</v>
      </c>
      <c r="AE40" s="1">
        <f>ROUND(All_PCC_a[[#This Row],[L (mm)]]*All_PCC_a[[#This Row],[W (mm)]],1)</f>
        <v>27.5</v>
      </c>
      <c r="AF40" s="61" t="str">
        <f>All_PCC_a[[#This Row],[L (mm)]]&amp;"  x  "&amp;All_PCC_a[[#This Row],[W (mm)]]</f>
        <v>5,5  x  5</v>
      </c>
      <c r="AG40" s="65" t="s">
        <v>138</v>
      </c>
      <c r="AH40" s="61" t="str">
        <f>IF(All_PCC_a[[#This Row],[Max Height (mm)]]&lt;=9,"≤ "&amp;ROUNDUP(AD40,0),"≤"&amp;ROUNDUP(AD40,0))</f>
        <v>≤ 3</v>
      </c>
      <c r="AI40" s="1">
        <v>-55</v>
      </c>
      <c r="AJ40" s="1">
        <v>155</v>
      </c>
      <c r="AK40" s="1" t="str">
        <f>All_PCC_a[[#This Row],[Min Temp (deg.C)]]&amp;" to +"&amp;All_PCC_a[[#This Row],[Max Temp (deg.C)]]</f>
        <v>-55 to +155</v>
      </c>
      <c r="AL40" s="1"/>
      <c r="AO40" s="61" t="s">
        <v>122</v>
      </c>
      <c r="AP40" s="61" t="str">
        <f t="shared" si="6"/>
        <v>-</v>
      </c>
      <c r="AQ40" s="61" t="s">
        <v>122</v>
      </c>
      <c r="AR40" s="61" t="s">
        <v>122</v>
      </c>
      <c r="AS40" s="1" t="s">
        <v>223</v>
      </c>
      <c r="AT40" s="1" t="s">
        <v>140</v>
      </c>
      <c r="AU40" s="1" t="e" vm="1">
        <f ca="1">_xlfn.IMAGE(All_PCC_a[[#This Row],[Image URL]])</f>
        <v>#NAME?</v>
      </c>
      <c r="AW40" s="1"/>
      <c r="AY40" s="1"/>
      <c r="BC40" s="1">
        <f>IF(Z40&lt;('[1]DCDC Ref'!$J$24/'[1]DCDC Ref'!$J$26)*'[1]DCDC Ref'!$J$28/100,0,1)</f>
        <v>1</v>
      </c>
      <c r="BD40" s="66">
        <f>IF(BC40=1000000000,"",('All Data'!Q40-'[1]DCDC Ref'!$J$30)/'[1]DCDC Ref'!$J$30*100)</f>
        <v>248.13186813186817</v>
      </c>
      <c r="BE40" s="67">
        <f t="shared" si="3"/>
        <v>248.13186813186817</v>
      </c>
      <c r="BF40" s="67"/>
      <c r="BG40" s="66"/>
      <c r="BH40" s="68">
        <f t="shared" si="0"/>
        <v>0</v>
      </c>
      <c r="BI40" s="67"/>
      <c r="BJ40" s="1">
        <f>IF(BC40=0,"",('All Data'!Z40-'[1]DCDC Ref'!$J$28*('[1]DCDC Ref'!$J$29/100))/'[1]DCDC Ref'!$J$28*('[1]DCDC Ref'!$J$29/100)*100)</f>
        <v>-9.4482758620689786</v>
      </c>
      <c r="BK40" s="68">
        <f t="shared" si="1"/>
        <v>10000</v>
      </c>
      <c r="BL40" s="68"/>
      <c r="BM40" s="68"/>
      <c r="BN40" s="68"/>
      <c r="BO40" s="68"/>
      <c r="BQ40" s="5">
        <f t="shared" si="4"/>
        <v>1290659.3406593408</v>
      </c>
      <c r="BR40" s="5">
        <f>IF(BQ40="","",RANK(BQ40,BQ$11:BQ$9930,1)+COUNTIF(BQ$11:BQ40,BQ40)-1)</f>
        <v>47</v>
      </c>
      <c r="BS40" s="69">
        <f t="shared" si="2"/>
        <v>47</v>
      </c>
      <c r="BT40" s="1" t="str">
        <f>IFERROR(INDEX($O$11:$O$1013,MATCH(ROWS($BS$11:BS40),$BS$11:$BS$1005,0)),"")</f>
        <v>ETQP3M1R5KVP</v>
      </c>
      <c r="BU40" s="69" t="str">
        <f t="shared" si="5"/>
        <v>ETQP3M1R5KVP</v>
      </c>
    </row>
    <row r="41" spans="1:73" ht="15">
      <c r="A41" s="1">
        <v>67</v>
      </c>
      <c r="B41" s="28" t="s">
        <v>109</v>
      </c>
      <c r="D41" s="1" t="s">
        <v>110</v>
      </c>
      <c r="E41" s="58"/>
      <c r="F41" s="1" t="s">
        <v>111</v>
      </c>
      <c r="G41" s="2" t="s">
        <v>112</v>
      </c>
      <c r="H41" s="1" t="s">
        <v>113</v>
      </c>
      <c r="I41" s="2" t="s">
        <v>114</v>
      </c>
      <c r="J41" s="1" t="s">
        <v>115</v>
      </c>
      <c r="K41" s="1" t="s">
        <v>134</v>
      </c>
      <c r="L41" s="1" t="s">
        <v>164</v>
      </c>
      <c r="M41" s="1" t="s">
        <v>165</v>
      </c>
      <c r="N41" s="1" t="s">
        <v>119</v>
      </c>
      <c r="O41" s="59" t="s">
        <v>224</v>
      </c>
      <c r="P41" s="60" t="str">
        <f>MID(All_PCC_a[[#This Row],[Part Number]],7,3)</f>
        <v>2R2</v>
      </c>
      <c r="Q41" s="61">
        <v>2.2000000000000002</v>
      </c>
      <c r="R41" s="61" t="str">
        <f>IF(All_PCC_a[[#This Row],[Lo (uH)]]&lt;1,"&lt;1",IF(All_PCC_a[[#This Row],[Lo (uH)]]&lt;10,"&lt;10",IF(All_PCC_a[[#This Row],[Lo (uH)]]&lt;100,"&lt;100",IF(All_PCC_a[[#This Row],[Lo (uH)]]&lt;2000,"&lt;2000",""))))</f>
        <v>&lt;10</v>
      </c>
      <c r="S41" s="61" t="str">
        <f>IFERROR(VLOOKUP(All_PCC_a[[#This Row],[Lo (uH)]],[1]Utility!$D$5:$E$43,2,1),"-")</f>
        <v>≤   3</v>
      </c>
      <c r="T41" s="62">
        <v>0.2</v>
      </c>
      <c r="U41" s="63">
        <v>14.5</v>
      </c>
      <c r="V41" s="63">
        <v>15.950000000000001</v>
      </c>
      <c r="W41" s="61">
        <v>10</v>
      </c>
      <c r="X41" s="61">
        <v>7.9</v>
      </c>
      <c r="Y41" s="61">
        <v>6.5</v>
      </c>
      <c r="Z41" s="64">
        <v>12.8</v>
      </c>
      <c r="AA41" s="61">
        <v>8.9</v>
      </c>
      <c r="AB41" s="1">
        <v>6.4</v>
      </c>
      <c r="AC41" s="1">
        <v>6</v>
      </c>
      <c r="AD41" s="61">
        <v>3</v>
      </c>
      <c r="AE41" s="1">
        <f>ROUND(All_PCC_a[[#This Row],[L (mm)]]*All_PCC_a[[#This Row],[W (mm)]],1)</f>
        <v>38.4</v>
      </c>
      <c r="AF41" s="61" t="str">
        <f>All_PCC_a[[#This Row],[L (mm)]]&amp;"  x  "&amp;All_PCC_a[[#This Row],[W (mm)]]</f>
        <v>6,4  x  6</v>
      </c>
      <c r="AG41" s="65" t="s">
        <v>156</v>
      </c>
      <c r="AH41" s="61" t="str">
        <f>IF(All_PCC_a[[#This Row],[Max Height (mm)]]&lt;=9,"≤ "&amp;ROUNDUP(AD41,0),"≤"&amp;ROUNDUP(AD41,0))</f>
        <v>≤ 3</v>
      </c>
      <c r="AI41" s="1">
        <v>-55</v>
      </c>
      <c r="AJ41" s="1">
        <v>155</v>
      </c>
      <c r="AK41" s="1" t="str">
        <f>All_PCC_a[[#This Row],[Min Temp (deg.C)]]&amp;" to +"&amp;All_PCC_a[[#This Row],[Max Temp (deg.C)]]</f>
        <v>-55 to +155</v>
      </c>
      <c r="AL41" s="1"/>
      <c r="AO41" s="61" t="s">
        <v>122</v>
      </c>
      <c r="AP41" s="61" t="str">
        <f t="shared" si="6"/>
        <v>-</v>
      </c>
      <c r="AQ41" s="61" t="s">
        <v>122</v>
      </c>
      <c r="AR41" s="61" t="s">
        <v>122</v>
      </c>
      <c r="AS41" s="1" t="s">
        <v>225</v>
      </c>
      <c r="AT41" s="1" t="s">
        <v>140</v>
      </c>
      <c r="AU41" s="1" t="e" vm="1">
        <f ca="1">_xlfn.IMAGE(All_PCC_a[[#This Row],[Image URL]])</f>
        <v>#NAME?</v>
      </c>
      <c r="AW41" s="1"/>
      <c r="AY41" s="1"/>
      <c r="AZ41" s="1" t="str">
        <f>IF(AY41=1,COUNTIF($AY$11:AY41,1),"")</f>
        <v/>
      </c>
      <c r="BC41" s="1">
        <f>IF(Z41&lt;('[1]DCDC Ref'!$J$24/'[1]DCDC Ref'!$J$26)*'[1]DCDC Ref'!$J$28/100,0,1)</f>
        <v>1</v>
      </c>
      <c r="BD41" s="66">
        <f>IF(BC41=1000000000,"",('All Data'!Q41-'[1]DCDC Ref'!$J$30)/'[1]DCDC Ref'!$J$30*100)</f>
        <v>248.13186813186817</v>
      </c>
      <c r="BE41" s="67">
        <f t="shared" si="3"/>
        <v>248.13186813186817</v>
      </c>
      <c r="BF41" s="67"/>
      <c r="BG41" s="66"/>
      <c r="BH41" s="68">
        <f t="shared" si="0"/>
        <v>0</v>
      </c>
      <c r="BI41" s="67"/>
      <c r="BJ41" s="1">
        <f>IF(BC41=0,"",('All Data'!Z41-'[1]DCDC Ref'!$J$28*('[1]DCDC Ref'!$J$29/100))/'[1]DCDC Ref'!$J$28*('[1]DCDC Ref'!$J$29/100)*100)</f>
        <v>14.758620689655167</v>
      </c>
      <c r="BK41" s="68">
        <f t="shared" si="1"/>
        <v>14.758620689655167</v>
      </c>
      <c r="BL41" s="68"/>
      <c r="BM41" s="68"/>
      <c r="BN41" s="68"/>
      <c r="BO41" s="68"/>
      <c r="BQ41" s="5">
        <f t="shared" si="4"/>
        <v>1240733.1337627892</v>
      </c>
      <c r="BR41" s="5">
        <f>IF(BQ41="","",RANK(BQ41,BQ$11:BQ$9930,1)+COUNTIF(BQ$11:BQ41,BQ41)-1)</f>
        <v>41</v>
      </c>
      <c r="BS41" s="69">
        <f t="shared" si="2"/>
        <v>41</v>
      </c>
      <c r="BT41" s="1" t="str">
        <f>IFERROR(INDEX($O$11:$O$1013,MATCH(ROWS($BS$11:BS41),$BS$11:$BS$1005,0)),"")</f>
        <v>ETQP3M1R5KVN</v>
      </c>
      <c r="BU41" s="69" t="str">
        <f t="shared" si="5"/>
        <v>ETQP3M1R5KVN</v>
      </c>
    </row>
    <row r="42" spans="1:73" ht="15">
      <c r="A42" s="1">
        <v>78</v>
      </c>
      <c r="B42" s="28" t="s">
        <v>109</v>
      </c>
      <c r="D42" s="1" t="s">
        <v>110</v>
      </c>
      <c r="E42" s="58"/>
      <c r="F42" s="1" t="s">
        <v>111</v>
      </c>
      <c r="G42" s="2" t="s">
        <v>112</v>
      </c>
      <c r="H42" s="1" t="s">
        <v>113</v>
      </c>
      <c r="I42" s="2" t="s">
        <v>114</v>
      </c>
      <c r="J42" s="1" t="s">
        <v>115</v>
      </c>
      <c r="K42" s="1" t="s">
        <v>134</v>
      </c>
      <c r="L42" s="1" t="s">
        <v>168</v>
      </c>
      <c r="M42" s="1" t="s">
        <v>169</v>
      </c>
      <c r="N42" s="1" t="s">
        <v>119</v>
      </c>
      <c r="O42" s="59" t="s">
        <v>226</v>
      </c>
      <c r="P42" s="60" t="str">
        <f>MID(All_PCC_a[[#This Row],[Part Number]],7,3)</f>
        <v>2R2</v>
      </c>
      <c r="Q42" s="61">
        <v>2.2000000000000002</v>
      </c>
      <c r="R42" s="61" t="str">
        <f>IF(All_PCC_a[[#This Row],[Lo (uH)]]&lt;1,"&lt;1",IF(All_PCC_a[[#This Row],[Lo (uH)]]&lt;10,"&lt;10",IF(All_PCC_a[[#This Row],[Lo (uH)]]&lt;100,"&lt;100",IF(All_PCC_a[[#This Row],[Lo (uH)]]&lt;2000,"&lt;2000",""))))</f>
        <v>&lt;10</v>
      </c>
      <c r="S42" s="61" t="str">
        <f>IFERROR(VLOOKUP(All_PCC_a[[#This Row],[Lo (uH)]],[1]Utility!$D$5:$E$43,2,1),"-")</f>
        <v>≤   3</v>
      </c>
      <c r="T42" s="62">
        <v>0.2</v>
      </c>
      <c r="U42" s="63">
        <v>8.5</v>
      </c>
      <c r="V42" s="63">
        <v>9.3500000000000014</v>
      </c>
      <c r="W42" s="61">
        <v>10</v>
      </c>
      <c r="X42" s="61">
        <v>11.4</v>
      </c>
      <c r="Y42" s="61">
        <v>9.8000000000000007</v>
      </c>
      <c r="Z42" s="64">
        <v>20.399999999999999</v>
      </c>
      <c r="AA42" s="61">
        <v>15.16</v>
      </c>
      <c r="AB42" s="1">
        <v>8.4</v>
      </c>
      <c r="AC42" s="1">
        <v>8</v>
      </c>
      <c r="AD42" s="61">
        <v>4</v>
      </c>
      <c r="AE42" s="1">
        <f>ROUND(All_PCC_a[[#This Row],[L (mm)]]*All_PCC_a[[#This Row],[W (mm)]],1)</f>
        <v>67.2</v>
      </c>
      <c r="AF42" s="61" t="str">
        <f>All_PCC_a[[#This Row],[L (mm)]]&amp;"  x  "&amp;All_PCC_a[[#This Row],[W (mm)]]</f>
        <v>8,4  x  8</v>
      </c>
      <c r="AG42" s="76" t="s">
        <v>171</v>
      </c>
      <c r="AH42" s="61" t="str">
        <f>IF(All_PCC_a[[#This Row],[Max Height (mm)]]&lt;=9,"≤ "&amp;ROUNDUP(AD42,0),"≤"&amp;ROUNDUP(AD42,0))</f>
        <v>≤ 4</v>
      </c>
      <c r="AI42" s="1">
        <v>-55</v>
      </c>
      <c r="AJ42" s="1">
        <v>155</v>
      </c>
      <c r="AK42" s="1" t="str">
        <f>All_PCC_a[[#This Row],[Min Temp (deg.C)]]&amp;" to +"&amp;All_PCC_a[[#This Row],[Max Temp (deg.C)]]</f>
        <v>-55 to +155</v>
      </c>
      <c r="AL42" s="1"/>
      <c r="AO42" s="61" t="s">
        <v>122</v>
      </c>
      <c r="AP42" s="61" t="str">
        <f t="shared" si="6"/>
        <v>-</v>
      </c>
      <c r="AQ42" s="61" t="s">
        <v>122</v>
      </c>
      <c r="AR42" s="61" t="s">
        <v>122</v>
      </c>
      <c r="AS42" s="1" t="s">
        <v>227</v>
      </c>
      <c r="AT42" s="1" t="s">
        <v>140</v>
      </c>
      <c r="AU42" s="1" t="e" vm="1">
        <f ca="1">_xlfn.IMAGE(All_PCC_a[[#This Row],[Image URL]])</f>
        <v>#NAME?</v>
      </c>
      <c r="AW42" s="1"/>
      <c r="AY42" s="1"/>
      <c r="AZ42" s="1" t="str">
        <f>IF(AY42=1,COUNTIF($AY$11:AY42,1),"")</f>
        <v/>
      </c>
      <c r="BC42" s="1">
        <f>IF(Z42&lt;('[1]DCDC Ref'!$J$24/'[1]DCDC Ref'!$J$26)*'[1]DCDC Ref'!$J$28/100,0,1)</f>
        <v>1</v>
      </c>
      <c r="BD42" s="66">
        <f>IF(BC42=1000000000,"",('All Data'!Q42-'[1]DCDC Ref'!$J$30)/'[1]DCDC Ref'!$J$30*100)</f>
        <v>248.13186813186817</v>
      </c>
      <c r="BE42" s="67">
        <f t="shared" si="3"/>
        <v>248.13186813186817</v>
      </c>
      <c r="BF42" s="67"/>
      <c r="BG42" s="66"/>
      <c r="BH42" s="68">
        <f t="shared" si="0"/>
        <v>0</v>
      </c>
      <c r="BI42" s="67"/>
      <c r="BJ42" s="1">
        <f>IF(BC42=0,"",('All Data'!Z42-'[1]DCDC Ref'!$J$28*('[1]DCDC Ref'!$J$29/100))/'[1]DCDC Ref'!$J$28*('[1]DCDC Ref'!$J$29/100)*100)</f>
        <v>82.896551724137908</v>
      </c>
      <c r="BK42" s="68">
        <f t="shared" si="1"/>
        <v>82.896551724137908</v>
      </c>
      <c r="BL42" s="68"/>
      <c r="BM42" s="68"/>
      <c r="BN42" s="68"/>
      <c r="BO42" s="68"/>
      <c r="BQ42" s="5">
        <f t="shared" si="4"/>
        <v>1241073.8234179616</v>
      </c>
      <c r="BR42" s="5">
        <f>IF(BQ42="","",RANK(BQ42,BQ$11:BQ$9930,1)+COUNTIF(BQ$11:BQ42,BQ42)-1)</f>
        <v>44</v>
      </c>
      <c r="BS42" s="69">
        <f t="shared" si="2"/>
        <v>44</v>
      </c>
      <c r="BT42" s="1" t="str">
        <f>IFERROR(INDEX($O$11:$O$1013,MATCH(ROWS($BS$11:BS42),$BS$11:$BS$1005,0)),"")</f>
        <v>ETQP4M1R5KFM</v>
      </c>
      <c r="BU42" s="69" t="str">
        <f t="shared" si="5"/>
        <v>ETQP4M1R5KFM</v>
      </c>
    </row>
    <row r="43" spans="1:73" ht="15">
      <c r="A43" s="1">
        <v>90</v>
      </c>
      <c r="B43" s="28" t="s">
        <v>109</v>
      </c>
      <c r="D43" s="1" t="s">
        <v>110</v>
      </c>
      <c r="E43" s="58"/>
      <c r="F43" s="1" t="s">
        <v>111</v>
      </c>
      <c r="G43" s="2" t="s">
        <v>112</v>
      </c>
      <c r="H43" s="1" t="s">
        <v>113</v>
      </c>
      <c r="I43" s="2" t="s">
        <v>114</v>
      </c>
      <c r="J43" s="1" t="s">
        <v>115</v>
      </c>
      <c r="K43" s="1" t="s">
        <v>134</v>
      </c>
      <c r="L43" s="1" t="s">
        <v>191</v>
      </c>
      <c r="M43" s="1" t="s">
        <v>192</v>
      </c>
      <c r="N43" s="1" t="s">
        <v>119</v>
      </c>
      <c r="O43" s="59" t="s">
        <v>228</v>
      </c>
      <c r="P43" s="60" t="str">
        <f>MID(All_PCC_a[[#This Row],[Part Number]],7,3)</f>
        <v>2R2</v>
      </c>
      <c r="Q43" s="61">
        <v>2.2000000000000002</v>
      </c>
      <c r="R43" s="61" t="str">
        <f>IF(All_PCC_a[[#This Row],[Lo (uH)]]&lt;1,"&lt;1",IF(All_PCC_a[[#This Row],[Lo (uH)]]&lt;10,"&lt;10",IF(All_PCC_a[[#This Row],[Lo (uH)]]&lt;100,"&lt;100",IF(All_PCC_a[[#This Row],[Lo (uH)]]&lt;2000,"&lt;2000",""))))</f>
        <v>&lt;10</v>
      </c>
      <c r="S43" s="61" t="str">
        <f>IFERROR(VLOOKUP(All_PCC_a[[#This Row],[Lo (uH)]],[1]Utility!$D$5:$E$43,2,1),"-")</f>
        <v>≤   3</v>
      </c>
      <c r="T43" s="62">
        <v>0.2</v>
      </c>
      <c r="U43" s="63">
        <v>6.8</v>
      </c>
      <c r="V43" s="63">
        <v>7.48</v>
      </c>
      <c r="W43" s="61">
        <v>10</v>
      </c>
      <c r="X43" s="61">
        <v>14.8</v>
      </c>
      <c r="Y43" s="86">
        <v>12.1</v>
      </c>
      <c r="Z43" s="87">
        <v>21</v>
      </c>
      <c r="AA43" s="61">
        <v>16.920000000000002</v>
      </c>
      <c r="AB43" s="1">
        <v>10.7</v>
      </c>
      <c r="AC43" s="1">
        <v>10</v>
      </c>
      <c r="AD43" s="61">
        <v>4</v>
      </c>
      <c r="AE43" s="1">
        <f>ROUND(All_PCC_a[[#This Row],[L (mm)]]*All_PCC_a[[#This Row],[W (mm)]],1)</f>
        <v>107</v>
      </c>
      <c r="AF43" s="61" t="str">
        <f>All_PCC_a[[#This Row],[L (mm)]]&amp;"  x  "&amp;All_PCC_a[[#This Row],[W (mm)]]</f>
        <v>10,7  x  10</v>
      </c>
      <c r="AG43" s="65" t="s">
        <v>121</v>
      </c>
      <c r="AH43" s="61" t="str">
        <f>IF(All_PCC_a[[#This Row],[Max Height (mm)]]&lt;=9,"≤ "&amp;ROUNDUP(AD43,0),"≤"&amp;ROUNDUP(AD43,0))</f>
        <v>≤ 4</v>
      </c>
      <c r="AI43" s="1">
        <v>-55</v>
      </c>
      <c r="AJ43" s="1">
        <v>155</v>
      </c>
      <c r="AK43" s="1" t="str">
        <f>All_PCC_a[[#This Row],[Min Temp (deg.C)]]&amp;" to +"&amp;All_PCC_a[[#This Row],[Max Temp (deg.C)]]</f>
        <v>-55 to +155</v>
      </c>
      <c r="AL43" s="1"/>
      <c r="AO43" s="61" t="s">
        <v>122</v>
      </c>
      <c r="AP43" s="61" t="str">
        <f t="shared" si="6"/>
        <v>-</v>
      </c>
      <c r="AQ43" s="61" t="s">
        <v>122</v>
      </c>
      <c r="AR43" s="61" t="s">
        <v>122</v>
      </c>
      <c r="AS43" s="1" t="s">
        <v>229</v>
      </c>
      <c r="AT43" s="1" t="s">
        <v>140</v>
      </c>
      <c r="AU43" s="1" t="e" vm="1">
        <f ca="1">_xlfn.IMAGE(All_PCC_a[[#This Row],[Image URL]])</f>
        <v>#NAME?</v>
      </c>
      <c r="AW43" s="1"/>
      <c r="AY43" s="1"/>
      <c r="AZ43" s="1" t="str">
        <f>IF(AY43=1,COUNTIF($AY$11:AY43,1),"")</f>
        <v/>
      </c>
      <c r="BC43" s="1">
        <f>IF(Z43&lt;('[1]DCDC Ref'!$J$24/'[1]DCDC Ref'!$J$26)*'[1]DCDC Ref'!$J$28/100,0,1)</f>
        <v>1</v>
      </c>
      <c r="BD43" s="66">
        <f>IF(BC43=1000000000,"",('All Data'!Q43-'[1]DCDC Ref'!$J$30)/'[1]DCDC Ref'!$J$30*100)</f>
        <v>248.13186813186817</v>
      </c>
      <c r="BE43" s="67">
        <f t="shared" si="3"/>
        <v>248.13186813186817</v>
      </c>
      <c r="BF43" s="67"/>
      <c r="BG43" s="66"/>
      <c r="BH43" s="68">
        <f t="shared" si="0"/>
        <v>0</v>
      </c>
      <c r="BI43" s="67"/>
      <c r="BJ43" s="1">
        <f>IF(BC43=0,"",('All Data'!Z43-'[1]DCDC Ref'!$J$28*('[1]DCDC Ref'!$J$29/100))/'[1]DCDC Ref'!$J$28*('[1]DCDC Ref'!$J$29/100)*100)</f>
        <v>88.275862068965495</v>
      </c>
      <c r="BK43" s="68">
        <f t="shared" si="1"/>
        <v>88.275862068965495</v>
      </c>
      <c r="BL43" s="68"/>
      <c r="BM43" s="68"/>
      <c r="BN43" s="68"/>
      <c r="BO43" s="68"/>
      <c r="BQ43" s="5">
        <f t="shared" si="4"/>
        <v>1241100.7199696857</v>
      </c>
      <c r="BR43" s="5">
        <f>IF(BQ43="","",RANK(BQ43,BQ$11:BQ$9930,1)+COUNTIF(BQ$11:BQ43,BQ43)-1)</f>
        <v>45</v>
      </c>
      <c r="BS43" s="69">
        <f t="shared" si="2"/>
        <v>45</v>
      </c>
      <c r="BT43" s="1" t="str">
        <f>IFERROR(INDEX($O$11:$O$1013,MATCH(ROWS($BS$11:BS43),$BS$11:$BS$1005,0)),"")</f>
        <v>ETQP4M1R5KVK</v>
      </c>
      <c r="BU43" s="69" t="str">
        <f t="shared" si="5"/>
        <v>ETQP4M1R5KVK</v>
      </c>
    </row>
    <row r="44" spans="1:73" ht="15">
      <c r="A44" s="1">
        <v>93</v>
      </c>
      <c r="B44" s="28" t="s">
        <v>109</v>
      </c>
      <c r="D44" s="1" t="s">
        <v>110</v>
      </c>
      <c r="E44" s="58"/>
      <c r="F44" s="1" t="s">
        <v>111</v>
      </c>
      <c r="G44" s="2" t="s">
        <v>112</v>
      </c>
      <c r="H44" s="1" t="s">
        <v>113</v>
      </c>
      <c r="I44" s="2" t="s">
        <v>114</v>
      </c>
      <c r="J44" s="1" t="s">
        <v>115</v>
      </c>
      <c r="K44" s="1" t="s">
        <v>230</v>
      </c>
      <c r="L44" s="1" t="s">
        <v>231</v>
      </c>
      <c r="M44" s="1" t="s">
        <v>232</v>
      </c>
      <c r="N44" s="1" t="s">
        <v>119</v>
      </c>
      <c r="O44" s="59" t="s">
        <v>233</v>
      </c>
      <c r="P44" s="60" t="str">
        <f>MID(All_PCC_a[[#This Row],[Part Number]],7,3)</f>
        <v>2R2</v>
      </c>
      <c r="Q44" s="61">
        <v>2.2000000000000002</v>
      </c>
      <c r="R44" s="61" t="str">
        <f>IF(All_PCC_a[[#This Row],[Lo (uH)]]&lt;1,"&lt;1",IF(All_PCC_a[[#This Row],[Lo (uH)]]&lt;10,"&lt;10",IF(All_PCC_a[[#This Row],[Lo (uH)]]&lt;100,"&lt;100",IF(All_PCC_a[[#This Row],[Lo (uH)]]&lt;2000,"&lt;2000",""))))</f>
        <v>&lt;10</v>
      </c>
      <c r="S44" s="61" t="str">
        <f>IFERROR(VLOOKUP(All_PCC_a[[#This Row],[Lo (uH)]],[1]Utility!$D$5:$E$43,2,1),"-")</f>
        <v>≤   3</v>
      </c>
      <c r="T44" s="62">
        <v>0.2</v>
      </c>
      <c r="U44" s="63">
        <v>19.5</v>
      </c>
      <c r="V44" s="63">
        <v>21.45</v>
      </c>
      <c r="W44" s="61">
        <v>20</v>
      </c>
      <c r="X44" s="61">
        <v>6.3</v>
      </c>
      <c r="Y44" s="86">
        <v>5.2</v>
      </c>
      <c r="Z44" s="87">
        <v>9</v>
      </c>
      <c r="AA44" s="61">
        <v>6.4</v>
      </c>
      <c r="AB44" s="1">
        <v>5.5</v>
      </c>
      <c r="AC44" s="1">
        <v>5</v>
      </c>
      <c r="AD44" s="61">
        <v>3</v>
      </c>
      <c r="AE44" s="1">
        <f>ROUND(All_PCC_a[[#This Row],[L (mm)]]*All_PCC_a[[#This Row],[W (mm)]],1)</f>
        <v>27.5</v>
      </c>
      <c r="AF44" s="61" t="str">
        <f>All_PCC_a[[#This Row],[L (mm)]]&amp;"  x  "&amp;All_PCC_a[[#This Row],[W (mm)]]</f>
        <v>5,5  x  5</v>
      </c>
      <c r="AG44" s="65" t="s">
        <v>138</v>
      </c>
      <c r="AH44" s="61" t="str">
        <f>IF(All_PCC_a[[#This Row],[Max Height (mm)]]&lt;=9,"≤ "&amp;ROUNDUP(AD44,0),"≤"&amp;ROUNDUP(AD44,0))</f>
        <v>≤ 3</v>
      </c>
      <c r="AI44" s="1">
        <v>-40</v>
      </c>
      <c r="AJ44" s="1">
        <v>150</v>
      </c>
      <c r="AK44" s="1" t="str">
        <f>All_PCC_a[[#This Row],[Min Temp (deg.C)]]&amp;" to +"&amp;All_PCC_a[[#This Row],[Max Temp (deg.C)]]</f>
        <v>-40 to +150</v>
      </c>
      <c r="AL44" s="1"/>
      <c r="AO44" s="61" t="s">
        <v>122</v>
      </c>
      <c r="AP44" s="61" t="str">
        <f t="shared" si="6"/>
        <v>-</v>
      </c>
      <c r="AQ44" s="61" t="s">
        <v>122</v>
      </c>
      <c r="AR44" s="61" t="s">
        <v>122</v>
      </c>
      <c r="AS44" s="1" t="s">
        <v>234</v>
      </c>
      <c r="AT44" s="1" t="s">
        <v>235</v>
      </c>
      <c r="AU44" s="1" t="e" vm="1">
        <f ca="1">_xlfn.IMAGE(All_PCC_a[[#This Row],[Image URL]])</f>
        <v>#NAME?</v>
      </c>
      <c r="AW44" s="1"/>
      <c r="AY44" s="1"/>
      <c r="AZ44" s="1" t="str">
        <f>IF(AY44=1,COUNTIF($AY$11:AY44,1),"")</f>
        <v/>
      </c>
      <c r="BC44" s="1">
        <f>IF(Z44&lt;('[1]DCDC Ref'!$J$24/'[1]DCDC Ref'!$J$26)*'[1]DCDC Ref'!$J$28/100,0,1)</f>
        <v>1</v>
      </c>
      <c r="BD44" s="66">
        <f>IF(BC44=1000000000,"",('All Data'!Q44-'[1]DCDC Ref'!$J$30)/'[1]DCDC Ref'!$J$30*100)</f>
        <v>248.13186813186817</v>
      </c>
      <c r="BE44" s="67">
        <f t="shared" si="3"/>
        <v>248.13186813186817</v>
      </c>
      <c r="BF44" s="67"/>
      <c r="BG44" s="66"/>
      <c r="BH44" s="68">
        <f t="shared" si="0"/>
        <v>0</v>
      </c>
      <c r="BI44" s="67"/>
      <c r="BJ44" s="1">
        <f>IF(BC44=0,"",('All Data'!Z44-'[1]DCDC Ref'!$J$28*('[1]DCDC Ref'!$J$29/100))/'[1]DCDC Ref'!$J$28*('[1]DCDC Ref'!$J$29/100)*100)</f>
        <v>-19.310344827586214</v>
      </c>
      <c r="BK44" s="68">
        <f t="shared" si="1"/>
        <v>10000</v>
      </c>
      <c r="BL44" s="68"/>
      <c r="BM44" s="68"/>
      <c r="BN44" s="68"/>
      <c r="BO44" s="68"/>
      <c r="BQ44" s="5">
        <f t="shared" si="4"/>
        <v>1290659.3406593408</v>
      </c>
      <c r="BR44" s="5">
        <f>IF(BQ44="","",RANK(BQ44,BQ$11:BQ$9930,1)+COUNTIF(BQ$11:BQ44,BQ44)-1)</f>
        <v>48</v>
      </c>
      <c r="BS44" s="69">
        <f t="shared" si="2"/>
        <v>48</v>
      </c>
      <c r="BT44" s="1" t="str">
        <f>IFERROR(INDEX($O$11:$O$1013,MATCH(ROWS($BS$11:BS44),$BS$11:$BS$1005,0)),"")</f>
        <v>ETQP4M1R5KVC</v>
      </c>
      <c r="BU44" s="69" t="str">
        <f t="shared" si="5"/>
        <v>ETQP4M1R5KVC</v>
      </c>
    </row>
    <row r="45" spans="1:73" ht="15">
      <c r="A45" s="1">
        <v>107</v>
      </c>
      <c r="B45" s="28" t="s">
        <v>109</v>
      </c>
      <c r="D45" s="75" t="s">
        <v>110</v>
      </c>
      <c r="E45" s="78"/>
      <c r="F45" s="91" t="s">
        <v>111</v>
      </c>
      <c r="G45" s="79" t="s">
        <v>112</v>
      </c>
      <c r="H45" s="75" t="s">
        <v>113</v>
      </c>
      <c r="I45" s="79" t="s">
        <v>114</v>
      </c>
      <c r="J45" s="75" t="s">
        <v>115</v>
      </c>
      <c r="K45" s="75" t="s">
        <v>116</v>
      </c>
      <c r="L45" s="75" t="s">
        <v>236</v>
      </c>
      <c r="M45" s="75" t="s">
        <v>237</v>
      </c>
      <c r="N45" s="75" t="s">
        <v>119</v>
      </c>
      <c r="O45" s="59" t="s">
        <v>238</v>
      </c>
      <c r="P45" s="60" t="str">
        <f>MID(All_PCC_a[[#This Row],[Part Number]],7,3)</f>
        <v>2R2</v>
      </c>
      <c r="Q45" s="80">
        <v>2.2000000000000002</v>
      </c>
      <c r="R45" s="80" t="str">
        <f>IF(All_PCC_a[[#This Row],[Lo (uH)]]&lt;1,"&lt;1",IF(All_PCC_a[[#This Row],[Lo (uH)]]&lt;10,"&lt;10",IF(All_PCC_a[[#This Row],[Lo (uH)]]&lt;100,"&lt;100",IF(All_PCC_a[[#This Row],[Lo (uH)]]&lt;2000,"&lt;2000",""))))</f>
        <v>&lt;10</v>
      </c>
      <c r="S45" s="80" t="str">
        <f>IFERROR(VLOOKUP(All_PCC_a[[#This Row],[Lo (uH)]],[1]Utility!$D$5:$E$43,2,1),"-")</f>
        <v>≤   3</v>
      </c>
      <c r="T45" s="72">
        <v>0.2</v>
      </c>
      <c r="U45" s="88">
        <v>10.4</v>
      </c>
      <c r="V45" s="88">
        <f>All_PCC_a[[#This Row],[DCR Typ (mOhm)]]*1.1</f>
        <v>11.440000000000001</v>
      </c>
      <c r="W45" s="80">
        <v>10</v>
      </c>
      <c r="X45" s="92">
        <v>10.199999999999999</v>
      </c>
      <c r="Y45" s="80">
        <v>8</v>
      </c>
      <c r="Z45" s="90">
        <v>14.4</v>
      </c>
      <c r="AA45" s="80">
        <v>10.41</v>
      </c>
      <c r="AB45" s="75">
        <v>6.5</v>
      </c>
      <c r="AC45" s="75">
        <v>6</v>
      </c>
      <c r="AD45" s="80">
        <v>4.5</v>
      </c>
      <c r="AE45" s="75">
        <f>ROUND(All_PCC_a[[#This Row],[L (mm)]]*All_PCC_a[[#This Row],[W (mm)]],1)</f>
        <v>39</v>
      </c>
      <c r="AF45" s="61" t="str">
        <f>All_PCC_a[[#This Row],[L (mm)]]&amp;"  x  "&amp;All_PCC_a[[#This Row],[W (mm)]]</f>
        <v>6,5  x  6</v>
      </c>
      <c r="AG45" s="65" t="s">
        <v>156</v>
      </c>
      <c r="AH45" s="61" t="str">
        <f>IF(All_PCC_a[[#This Row],[Max Height (mm)]]&lt;=9,"≤ "&amp;ROUNDUP(AD45,0),"≤"&amp;ROUNDUP(AD45,0))</f>
        <v>≤ 5</v>
      </c>
      <c r="AI45" s="93">
        <v>-40</v>
      </c>
      <c r="AJ45" s="75">
        <v>150</v>
      </c>
      <c r="AK45" s="1" t="str">
        <f>All_PCC_a[[#This Row],[Min Temp (deg.C)]]&amp;" to +"&amp;All_PCC_a[[#This Row],[Max Temp (deg.C)]]</f>
        <v>-40 to +150</v>
      </c>
      <c r="AL45" s="75"/>
      <c r="AM45" s="75"/>
      <c r="AN45" s="75"/>
      <c r="AO45" s="80" t="s">
        <v>122</v>
      </c>
      <c r="AP45" s="92" t="str">
        <f t="shared" si="6"/>
        <v>-</v>
      </c>
      <c r="AQ45" s="80" t="s">
        <v>122</v>
      </c>
      <c r="AR45" s="80" t="s">
        <v>122</v>
      </c>
      <c r="AS45" s="75" t="s">
        <v>239</v>
      </c>
      <c r="AT45" s="1" t="s">
        <v>124</v>
      </c>
      <c r="AU45" s="1" t="e" vm="1">
        <f ca="1">_xlfn.IMAGE(All_PCC_a[[#This Row],[Image URL]])</f>
        <v>#NAME?</v>
      </c>
      <c r="AV45" s="75"/>
      <c r="AW45" s="75"/>
      <c r="AY45" s="1"/>
      <c r="BC45" s="1">
        <f>IF(Z45&lt;('[1]DCDC Ref'!$J$24/'[1]DCDC Ref'!$J$26)*'[1]DCDC Ref'!$J$28/100,0,1)</f>
        <v>1</v>
      </c>
      <c r="BD45" s="66">
        <f>IF(BC45=1000000000,"",('All Data'!Q45-'[1]DCDC Ref'!$J$30)/'[1]DCDC Ref'!$J$30*100)</f>
        <v>248.13186813186817</v>
      </c>
      <c r="BE45" s="67">
        <f t="shared" si="3"/>
        <v>248.13186813186817</v>
      </c>
      <c r="BF45" s="67"/>
      <c r="BG45" s="66"/>
      <c r="BH45" s="68">
        <f t="shared" si="0"/>
        <v>0</v>
      </c>
      <c r="BI45" s="67"/>
      <c r="BJ45" s="1">
        <f>IF(BC45=0,"",('All Data'!Z45-'[1]DCDC Ref'!$J$28*('[1]DCDC Ref'!$J$29/100))/'[1]DCDC Ref'!$J$28*('[1]DCDC Ref'!$J$29/100)*100)</f>
        <v>29.103448275862061</v>
      </c>
      <c r="BK45" s="68">
        <f t="shared" si="1"/>
        <v>29.103448275862061</v>
      </c>
      <c r="BL45" s="68"/>
      <c r="BM45" s="68"/>
      <c r="BN45" s="68"/>
      <c r="BO45" s="68"/>
      <c r="BQ45" s="5">
        <f t="shared" si="4"/>
        <v>1240804.8579007201</v>
      </c>
      <c r="BR45" s="5">
        <f>IF(BQ45="","",RANK(BQ45,BQ$11:BQ$9930,1)+COUNTIF(BQ$11:BQ45,BQ45)-1)</f>
        <v>42</v>
      </c>
      <c r="BS45" s="69">
        <f t="shared" si="2"/>
        <v>42</v>
      </c>
      <c r="BT45" s="1" t="str">
        <f>IFERROR(INDEX($O$11:$O$1013,MATCH(ROWS($BS$11:BS45),$BS$11:$BS$1005,0)),"")</f>
        <v>ETQP8M1R5JFA</v>
      </c>
      <c r="BU45" s="69" t="str">
        <f t="shared" si="5"/>
        <v>ETQP8M1R5JFA</v>
      </c>
    </row>
    <row r="46" spans="1:73" ht="15">
      <c r="A46" s="1">
        <v>105</v>
      </c>
      <c r="B46" s="28" t="s">
        <v>109</v>
      </c>
      <c r="D46" s="1" t="s">
        <v>110</v>
      </c>
      <c r="E46" s="58"/>
      <c r="F46" s="1" t="s">
        <v>111</v>
      </c>
      <c r="G46" s="2" t="s">
        <v>112</v>
      </c>
      <c r="H46" s="1" t="s">
        <v>113</v>
      </c>
      <c r="I46" s="2" t="s">
        <v>114</v>
      </c>
      <c r="J46" s="1" t="s">
        <v>115</v>
      </c>
      <c r="K46" s="1" t="s">
        <v>173</v>
      </c>
      <c r="L46" s="75" t="s">
        <v>240</v>
      </c>
      <c r="M46" s="1" t="s">
        <v>241</v>
      </c>
      <c r="N46" s="1" t="s">
        <v>119</v>
      </c>
      <c r="O46" s="59" t="s">
        <v>242</v>
      </c>
      <c r="P46" s="60" t="str">
        <f>MID(All_PCC_a[[#This Row],[Part Number]],7,3)</f>
        <v>2R5</v>
      </c>
      <c r="Q46" s="61">
        <v>2.4500000000000002</v>
      </c>
      <c r="R46" s="61" t="str">
        <f>IF(All_PCC_a[[#This Row],[Lo (uH)]]&lt;1,"&lt;1",IF(All_PCC_a[[#This Row],[Lo (uH)]]&lt;10,"&lt;10",IF(All_PCC_a[[#This Row],[Lo (uH)]]&lt;100,"&lt;100",IF(All_PCC_a[[#This Row],[Lo (uH)]]&lt;2000,"&lt;2000",""))))</f>
        <v>&lt;10</v>
      </c>
      <c r="S46" s="61" t="str">
        <f>IFERROR(VLOOKUP(All_PCC_a[[#This Row],[Lo (uH)]],[1]Utility!$D$5:$E$43,2,1),"-")</f>
        <v>≤   3</v>
      </c>
      <c r="T46" s="62">
        <v>0.2</v>
      </c>
      <c r="U46" s="63">
        <v>7.4</v>
      </c>
      <c r="V46" s="63">
        <v>8.14</v>
      </c>
      <c r="W46" s="61">
        <v>10</v>
      </c>
      <c r="X46" s="71">
        <v>14.1</v>
      </c>
      <c r="Y46" s="61">
        <v>12</v>
      </c>
      <c r="Z46" s="87">
        <v>19.3</v>
      </c>
      <c r="AA46" s="61">
        <v>13.7</v>
      </c>
      <c r="AB46" s="1">
        <v>8.5</v>
      </c>
      <c r="AC46" s="1">
        <v>8</v>
      </c>
      <c r="AD46" s="61">
        <v>5.4</v>
      </c>
      <c r="AE46" s="1">
        <f>ROUND(All_PCC_a[[#This Row],[L (mm)]]*All_PCC_a[[#This Row],[W (mm)]],1)</f>
        <v>68</v>
      </c>
      <c r="AF46" s="61" t="str">
        <f>All_PCC_a[[#This Row],[L (mm)]]&amp;"  x  "&amp;All_PCC_a[[#This Row],[W (mm)]]</f>
        <v>8,5  x  8</v>
      </c>
      <c r="AG46" s="65" t="s">
        <v>171</v>
      </c>
      <c r="AH46" s="61" t="str">
        <f>IF(All_PCC_a[[#This Row],[Max Height (mm)]]&lt;=9,"≤ "&amp;ROUNDUP(AD46,0),"≤"&amp;ROUNDUP(AD46,0))</f>
        <v>≤ 6</v>
      </c>
      <c r="AI46" s="1">
        <v>-40</v>
      </c>
      <c r="AJ46" s="1">
        <v>150</v>
      </c>
      <c r="AK46" s="1" t="str">
        <f>All_PCC_a[[#This Row],[Min Temp (deg.C)]]&amp;" to +"&amp;All_PCC_a[[#This Row],[Max Temp (deg.C)]]</f>
        <v>-40 to +150</v>
      </c>
      <c r="AL46" s="1"/>
      <c r="AM46" s="84"/>
      <c r="AN46" s="75"/>
      <c r="AO46" s="61" t="s">
        <v>122</v>
      </c>
      <c r="AP46" s="71" t="str">
        <f t="shared" ref="AP46:AP77" si="7">IFERROR(IF(L1Round&gt;1,ROUND(L1Round,1),L1Round),"-")</f>
        <v>-</v>
      </c>
      <c r="AQ46" s="61" t="s">
        <v>122</v>
      </c>
      <c r="AR46" s="61" t="s">
        <v>122</v>
      </c>
      <c r="AS46" s="1" t="s">
        <v>243</v>
      </c>
      <c r="AT46" s="75" t="s">
        <v>178</v>
      </c>
      <c r="AU46" s="1" t="e" vm="1">
        <f ca="1">_xlfn.IMAGE(All_PCC_a[[#This Row],[Image URL]])</f>
        <v>#NAME?</v>
      </c>
      <c r="AW46" s="1"/>
      <c r="AY46" s="1"/>
      <c r="BC46" s="1">
        <f>IF(Z46&lt;('[1]DCDC Ref'!$J$24/'[1]DCDC Ref'!$J$26)*'[1]DCDC Ref'!$J$28/100,0,1)</f>
        <v>1</v>
      </c>
      <c r="BD46" s="66">
        <f>IF(BC46=1000000000,"",('All Data'!Q46-'[1]DCDC Ref'!$J$30)/'[1]DCDC Ref'!$J$30*100)</f>
        <v>287.69230769230774</v>
      </c>
      <c r="BE46" s="67">
        <f t="shared" si="3"/>
        <v>287.69230769230774</v>
      </c>
      <c r="BF46" s="67"/>
      <c r="BG46" s="66"/>
      <c r="BH46" s="68">
        <f t="shared" si="0"/>
        <v>0</v>
      </c>
      <c r="BI46" s="67"/>
      <c r="BJ46" s="1">
        <f>IF(BC46=0,"",('All Data'!Z46-'[1]DCDC Ref'!$J$28*('[1]DCDC Ref'!$J$29/100))/'[1]DCDC Ref'!$J$28*('[1]DCDC Ref'!$J$29/100)*100)</f>
        <v>73.034482758620683</v>
      </c>
      <c r="BK46" s="68">
        <f t="shared" si="1"/>
        <v>73.034482758620683</v>
      </c>
      <c r="BL46" s="68"/>
      <c r="BM46" s="68"/>
      <c r="BN46" s="68"/>
      <c r="BO46" s="68"/>
      <c r="BQ46" s="5">
        <f t="shared" si="4"/>
        <v>1438826.7108753319</v>
      </c>
      <c r="BR46" s="5">
        <f>IF(BQ46="","",RANK(BQ46,BQ$11:BQ$9930,1)+COUNTIF(BQ$11:BQ46,BQ46)-1)</f>
        <v>49</v>
      </c>
      <c r="BS46" s="69">
        <f t="shared" si="2"/>
        <v>49</v>
      </c>
      <c r="BT46" s="1" t="str">
        <f>IFERROR(INDEX($O$11:$O$1013,MATCH(ROWS($BS$11:BS46),$BS$11:$BS$1005,0)),"")</f>
        <v>ETQP6M1R5YLC</v>
      </c>
      <c r="BU46" s="69" t="str">
        <f t="shared" si="5"/>
        <v>ETQP6M1R5YLC</v>
      </c>
    </row>
    <row r="47" spans="1:73" ht="15">
      <c r="A47" s="1">
        <v>14</v>
      </c>
      <c r="B47" s="28" t="s">
        <v>109</v>
      </c>
      <c r="D47" s="1" t="s">
        <v>110</v>
      </c>
      <c r="E47" s="58"/>
      <c r="F47" s="1" t="s">
        <v>111</v>
      </c>
      <c r="G47" s="2" t="s">
        <v>112</v>
      </c>
      <c r="H47" s="1" t="s">
        <v>113</v>
      </c>
      <c r="I47" s="2" t="s">
        <v>114</v>
      </c>
      <c r="J47" s="1" t="s">
        <v>115</v>
      </c>
      <c r="K47" s="1" t="s">
        <v>116</v>
      </c>
      <c r="L47" s="1" t="s">
        <v>195</v>
      </c>
      <c r="M47" s="1" t="s">
        <v>196</v>
      </c>
      <c r="N47" s="1" t="s">
        <v>119</v>
      </c>
      <c r="O47" s="59" t="s">
        <v>244</v>
      </c>
      <c r="P47" s="60" t="str">
        <f>MID(All_PCC_a[[#This Row],[Part Number]],7,3)</f>
        <v>2R5</v>
      </c>
      <c r="Q47" s="61">
        <v>2.5</v>
      </c>
      <c r="R47" s="61" t="str">
        <f>IF(All_PCC_a[[#This Row],[Lo (uH)]]&lt;1,"&lt;1",IF(All_PCC_a[[#This Row],[Lo (uH)]]&lt;10,"&lt;10",IF(All_PCC_a[[#This Row],[Lo (uH)]]&lt;100,"&lt;100",IF(All_PCC_a[[#This Row],[Lo (uH)]]&lt;2000,"&lt;2000",""))))</f>
        <v>&lt;10</v>
      </c>
      <c r="S47" s="61" t="str">
        <f>IFERROR(VLOOKUP(All_PCC_a[[#This Row],[Lo (uH)]],[1]Utility!$D$5:$E$43,2,1),"-")</f>
        <v>≤   3</v>
      </c>
      <c r="T47" s="62">
        <v>0.2</v>
      </c>
      <c r="U47" s="63">
        <v>5.3</v>
      </c>
      <c r="V47" s="63">
        <v>5.9</v>
      </c>
      <c r="W47" s="61">
        <v>10</v>
      </c>
      <c r="X47" s="61">
        <v>18.100000000000001</v>
      </c>
      <c r="Y47" s="61">
        <v>15.1</v>
      </c>
      <c r="Z47" s="64">
        <v>27.2</v>
      </c>
      <c r="AA47" s="61">
        <v>19.739999999999998</v>
      </c>
      <c r="AB47" s="1">
        <v>10.7</v>
      </c>
      <c r="AC47" s="1">
        <v>10</v>
      </c>
      <c r="AD47" s="61">
        <v>5.4</v>
      </c>
      <c r="AE47" s="1">
        <f>ROUND(All_PCC_a[[#This Row],[L (mm)]]*All_PCC_a[[#This Row],[W (mm)]],1)</f>
        <v>107</v>
      </c>
      <c r="AF47" s="61" t="str">
        <f>All_PCC_a[[#This Row],[L (mm)]]&amp;"  x  "&amp;All_PCC_a[[#This Row],[W (mm)]]</f>
        <v>10,7  x  10</v>
      </c>
      <c r="AG47" s="65" t="s">
        <v>121</v>
      </c>
      <c r="AH47" s="61" t="str">
        <f>IF(All_PCC_a[[#This Row],[Max Height (mm)]]&lt;=9,"≤ "&amp;ROUNDUP(AD47,0),"≤"&amp;ROUNDUP(AD47,0))</f>
        <v>≤ 6</v>
      </c>
      <c r="AI47" s="1">
        <v>-40</v>
      </c>
      <c r="AJ47" s="1">
        <v>150</v>
      </c>
      <c r="AK47" s="1" t="str">
        <f>All_PCC_a[[#This Row],[Min Temp (deg.C)]]&amp;" to +"&amp;All_PCC_a[[#This Row],[Max Temp (deg.C)]]</f>
        <v>-40 to +150</v>
      </c>
      <c r="AL47" s="1"/>
      <c r="AO47" s="61" t="s">
        <v>122</v>
      </c>
      <c r="AP47" s="61" t="str">
        <f t="shared" si="7"/>
        <v>-</v>
      </c>
      <c r="AQ47" s="61" t="s">
        <v>122</v>
      </c>
      <c r="AR47" s="61" t="s">
        <v>122</v>
      </c>
      <c r="AS47" s="1" t="s">
        <v>245</v>
      </c>
      <c r="AT47" s="1" t="s">
        <v>124</v>
      </c>
      <c r="AU47" s="1" t="e" vm="1">
        <f ca="1">_xlfn.IMAGE(All_PCC_a[[#This Row],[Image URL]])</f>
        <v>#NAME?</v>
      </c>
      <c r="AW47" s="1"/>
      <c r="AY47" s="1"/>
      <c r="AZ47" s="1" t="str">
        <f>IF(AY47=1,COUNTIF($AY$11:AY47,1),"")</f>
        <v/>
      </c>
      <c r="BC47" s="1">
        <f>IF(Z47&lt;('[1]DCDC Ref'!$J$24/'[1]DCDC Ref'!$J$26)*'[1]DCDC Ref'!$J$28/100,0,1)</f>
        <v>1</v>
      </c>
      <c r="BD47" s="66">
        <f>IF(BC47=1000000000,"",('All Data'!Q47-'[1]DCDC Ref'!$J$30)/'[1]DCDC Ref'!$J$30*100)</f>
        <v>295.60439560439562</v>
      </c>
      <c r="BE47" s="67">
        <f t="shared" si="3"/>
        <v>295.60439560439562</v>
      </c>
      <c r="BF47" s="67"/>
      <c r="BG47" s="66"/>
      <c r="BH47" s="68">
        <f t="shared" si="0"/>
        <v>0</v>
      </c>
      <c r="BI47" s="67"/>
      <c r="BJ47" s="1">
        <f>IF(BC47=0,"",('All Data'!Z47-'[1]DCDC Ref'!$J$28*('[1]DCDC Ref'!$J$29/100))/'[1]DCDC Ref'!$J$28*('[1]DCDC Ref'!$J$29/100)*100)</f>
        <v>143.86206896551718</v>
      </c>
      <c r="BK47" s="68">
        <f t="shared" si="1"/>
        <v>143.86206896551718</v>
      </c>
      <c r="BL47" s="68"/>
      <c r="BM47" s="68"/>
      <c r="BN47" s="68"/>
      <c r="BO47" s="68"/>
      <c r="BQ47" s="5">
        <f t="shared" si="4"/>
        <v>1478741.2883668058</v>
      </c>
      <c r="BR47" s="5">
        <f>IF(BQ47="","",RANK(BQ47,BQ$11:BQ$9930,1)+COUNTIF(BQ$11:BQ47,BQ47)-1)</f>
        <v>53</v>
      </c>
      <c r="BS47" s="69">
        <f t="shared" si="2"/>
        <v>53</v>
      </c>
      <c r="BT47" s="1" t="str">
        <f>IFERROR(INDEX($O$11:$O$1013,MATCH(ROWS($BS$11:BS47),$BS$11:$BS$1005,0)),"")</f>
        <v>ETQP5M1R5YFC</v>
      </c>
      <c r="BU47" s="69" t="str">
        <f t="shared" si="5"/>
        <v>ETQP5M1R5YFC</v>
      </c>
    </row>
    <row r="48" spans="1:73" ht="15">
      <c r="A48" s="1">
        <v>24</v>
      </c>
      <c r="B48" s="28" t="s">
        <v>109</v>
      </c>
      <c r="D48" s="1" t="s">
        <v>110</v>
      </c>
      <c r="E48" s="58"/>
      <c r="F48" s="1" t="s">
        <v>111</v>
      </c>
      <c r="G48" s="2" t="s">
        <v>112</v>
      </c>
      <c r="H48" s="1" t="s">
        <v>113</v>
      </c>
      <c r="I48" s="2" t="s">
        <v>114</v>
      </c>
      <c r="J48" s="1" t="s">
        <v>115</v>
      </c>
      <c r="K48" s="1" t="s">
        <v>116</v>
      </c>
      <c r="L48" s="1" t="s">
        <v>246</v>
      </c>
      <c r="M48" s="1" t="s">
        <v>247</v>
      </c>
      <c r="N48" s="1" t="s">
        <v>154</v>
      </c>
      <c r="O48" s="59" t="s">
        <v>248</v>
      </c>
      <c r="P48" s="60" t="str">
        <f>MID(All_PCC_a[[#This Row],[Part Number]],7,3)</f>
        <v>2R5</v>
      </c>
      <c r="Q48" s="61">
        <v>2.5</v>
      </c>
      <c r="R48" s="61" t="str">
        <f>IF(All_PCC_a[[#This Row],[Lo (uH)]]&lt;1,"&lt;1",IF(All_PCC_a[[#This Row],[Lo (uH)]]&lt;10,"&lt;10",IF(All_PCC_a[[#This Row],[Lo (uH)]]&lt;100,"&lt;100",IF(All_PCC_a[[#This Row],[Lo (uH)]]&lt;2000,"&lt;2000",""))))</f>
        <v>&lt;10</v>
      </c>
      <c r="S48" s="61" t="str">
        <f>IFERROR(VLOOKUP(All_PCC_a[[#This Row],[Lo (uH)]],[1]Utility!$D$5:$E$43,2,1),"-")</f>
        <v>≤   3</v>
      </c>
      <c r="T48" s="62">
        <v>0.2</v>
      </c>
      <c r="U48" s="63">
        <v>7.6</v>
      </c>
      <c r="V48" s="63">
        <v>8.36</v>
      </c>
      <c r="W48" s="61">
        <v>10</v>
      </c>
      <c r="X48" s="61">
        <v>14</v>
      </c>
      <c r="Y48" s="61">
        <v>11.9</v>
      </c>
      <c r="Z48" s="64">
        <v>20.100000000000001</v>
      </c>
      <c r="AA48" s="61">
        <v>14.54</v>
      </c>
      <c r="AB48" s="1">
        <v>8.5</v>
      </c>
      <c r="AC48" s="1">
        <v>8</v>
      </c>
      <c r="AD48" s="61">
        <v>5.4</v>
      </c>
      <c r="AE48" s="1">
        <f>ROUND(All_PCC_a[[#This Row],[L (mm)]]*All_PCC_a[[#This Row],[W (mm)]],1)</f>
        <v>68</v>
      </c>
      <c r="AF48" s="61" t="str">
        <f>All_PCC_a[[#This Row],[L (mm)]]&amp;"  x  "&amp;All_PCC_a[[#This Row],[W (mm)]]</f>
        <v>8,5  x  8</v>
      </c>
      <c r="AG48" s="76" t="s">
        <v>171</v>
      </c>
      <c r="AH48" s="61" t="str">
        <f>IF(All_PCC_a[[#This Row],[Max Height (mm)]]&lt;=9,"≤ "&amp;ROUNDUP(AD48,0),"≤"&amp;ROUNDUP(AD48,0))</f>
        <v>≤ 6</v>
      </c>
      <c r="AI48" s="11">
        <v>-40</v>
      </c>
      <c r="AJ48" s="11">
        <v>150</v>
      </c>
      <c r="AK48" s="1" t="str">
        <f>All_PCC_a[[#This Row],[Min Temp (deg.C)]]&amp;" to +"&amp;All_PCC_a[[#This Row],[Max Temp (deg.C)]]</f>
        <v>-40 to +150</v>
      </c>
      <c r="AL48" s="1"/>
      <c r="AO48" s="61" t="s">
        <v>144</v>
      </c>
      <c r="AP48" s="61" t="str">
        <f t="shared" si="7"/>
        <v>-</v>
      </c>
      <c r="AQ48" s="61" t="s">
        <v>122</v>
      </c>
      <c r="AR48" s="61" t="s">
        <v>122</v>
      </c>
      <c r="AS48" s="1" t="s">
        <v>249</v>
      </c>
      <c r="AT48" s="1" t="s">
        <v>124</v>
      </c>
      <c r="AU48" s="1" t="e" vm="1">
        <f ca="1">_xlfn.IMAGE(All_PCC_a[[#This Row],[Image URL]])</f>
        <v>#NAME?</v>
      </c>
      <c r="AW48" s="1"/>
      <c r="AY48" s="1"/>
      <c r="AZ48" s="1" t="str">
        <f>IF(AY48=1,COUNTIF($AY$11:AY48,1),"")</f>
        <v/>
      </c>
      <c r="BC48" s="1">
        <f>IF(Z48&lt;('[1]DCDC Ref'!$J$24/'[1]DCDC Ref'!$J$26)*'[1]DCDC Ref'!$J$28/100,0,1)</f>
        <v>1</v>
      </c>
      <c r="BD48" s="66">
        <f>IF(BC48=1000000000,"",('All Data'!Q48-'[1]DCDC Ref'!$J$30)/'[1]DCDC Ref'!$J$30*100)</f>
        <v>295.60439560439562</v>
      </c>
      <c r="BE48" s="67">
        <f t="shared" si="3"/>
        <v>295.60439560439562</v>
      </c>
      <c r="BF48" s="67"/>
      <c r="BG48" s="66"/>
      <c r="BH48" s="68">
        <f t="shared" si="0"/>
        <v>0</v>
      </c>
      <c r="BI48" s="67"/>
      <c r="BJ48" s="1">
        <f>IF(BC48=0,"",('All Data'!Z48-'[1]DCDC Ref'!$J$28*('[1]DCDC Ref'!$J$29/100))/'[1]DCDC Ref'!$J$28*('[1]DCDC Ref'!$J$29/100)*100)</f>
        <v>80.206896551724128</v>
      </c>
      <c r="BK48" s="68">
        <f t="shared" si="1"/>
        <v>80.206896551724128</v>
      </c>
      <c r="BL48" s="68"/>
      <c r="BM48" s="68"/>
      <c r="BN48" s="68"/>
      <c r="BO48" s="68"/>
      <c r="BQ48" s="5">
        <f t="shared" si="4"/>
        <v>1478423.0125047369</v>
      </c>
      <c r="BR48" s="5">
        <f>IF(BQ48="","",RANK(BQ48,BQ$11:BQ$9930,1)+COUNTIF(BQ$11:BQ48,BQ48)-1)</f>
        <v>50</v>
      </c>
      <c r="BS48" s="69">
        <f t="shared" si="2"/>
        <v>50</v>
      </c>
      <c r="BT48" s="1" t="str">
        <f>IFERROR(INDEX($O$11:$O$1013,MATCH(ROWS($BS$11:BS48),$BS$11:$BS$1005,0)),"")</f>
        <v>ETQPAM1R5JFW</v>
      </c>
      <c r="BU48" s="69" t="str">
        <f t="shared" si="5"/>
        <v>ETQPAM1R5JFW</v>
      </c>
    </row>
    <row r="49" spans="1:73" ht="15">
      <c r="A49" s="1">
        <v>42</v>
      </c>
      <c r="B49" s="28" t="s">
        <v>109</v>
      </c>
      <c r="D49" s="1" t="s">
        <v>110</v>
      </c>
      <c r="E49" s="58"/>
      <c r="F49" s="1" t="s">
        <v>111</v>
      </c>
      <c r="G49" s="2" t="s">
        <v>112</v>
      </c>
      <c r="H49" s="1" t="s">
        <v>113</v>
      </c>
      <c r="I49" s="2" t="s">
        <v>114</v>
      </c>
      <c r="J49" s="1" t="s">
        <v>115</v>
      </c>
      <c r="K49" s="1" t="s">
        <v>116</v>
      </c>
      <c r="L49" s="1" t="s">
        <v>199</v>
      </c>
      <c r="M49" s="1" t="s">
        <v>200</v>
      </c>
      <c r="N49" s="1" t="s">
        <v>154</v>
      </c>
      <c r="O49" s="59" t="s">
        <v>250</v>
      </c>
      <c r="P49" s="60" t="str">
        <f>MID(All_PCC_a[[#This Row],[Part Number]],7,3)</f>
        <v>2R5</v>
      </c>
      <c r="Q49" s="85">
        <v>2.5</v>
      </c>
      <c r="R49" s="61" t="str">
        <f>IF(All_PCC_a[[#This Row],[Lo (uH)]]&lt;1,"&lt;1",IF(All_PCC_a[[#This Row],[Lo (uH)]]&lt;10,"&lt;10",IF(All_PCC_a[[#This Row],[Lo (uH)]]&lt;100,"&lt;100",IF(All_PCC_a[[#This Row],[Lo (uH)]]&lt;2000,"&lt;2000",""))))</f>
        <v>&lt;10</v>
      </c>
      <c r="S49" s="61" t="str">
        <f>IFERROR(VLOOKUP(All_PCC_a[[#This Row],[Lo (uH)]],[1]Utility!$D$5:$E$43,2,1),"-")</f>
        <v>≤   3</v>
      </c>
      <c r="T49" s="62">
        <v>0.2</v>
      </c>
      <c r="U49" s="63">
        <v>4.55</v>
      </c>
      <c r="V49" s="63">
        <v>5</v>
      </c>
      <c r="W49" s="61">
        <v>10</v>
      </c>
      <c r="X49" s="61">
        <v>19.600000000000001</v>
      </c>
      <c r="Y49" s="61">
        <v>16.3</v>
      </c>
      <c r="Z49" s="64">
        <v>25.8</v>
      </c>
      <c r="AA49" s="61">
        <v>17.2</v>
      </c>
      <c r="AB49" s="1">
        <v>10.9</v>
      </c>
      <c r="AC49" s="1">
        <v>10</v>
      </c>
      <c r="AD49" s="61">
        <v>6</v>
      </c>
      <c r="AE49" s="1">
        <f>ROUND(All_PCC_a[[#This Row],[L (mm)]]*All_PCC_a[[#This Row],[W (mm)]],1)</f>
        <v>109</v>
      </c>
      <c r="AF49" s="61" t="str">
        <f>All_PCC_a[[#This Row],[L (mm)]]&amp;"  x  "&amp;All_PCC_a[[#This Row],[W (mm)]]</f>
        <v>10,9  x  10</v>
      </c>
      <c r="AG49" s="76" t="s">
        <v>121</v>
      </c>
      <c r="AH49" s="61" t="str">
        <f>IF(All_PCC_a[[#This Row],[Max Height (mm)]]&lt;=9,"≤ "&amp;ROUNDUP(AD49,0),"≤"&amp;ROUNDUP(AD49,0))</f>
        <v>≤ 6</v>
      </c>
      <c r="AI49" s="11">
        <v>-40</v>
      </c>
      <c r="AJ49" s="11">
        <v>150</v>
      </c>
      <c r="AK49" s="1" t="str">
        <f>All_PCC_a[[#This Row],[Min Temp (deg.C)]]&amp;" to +"&amp;All_PCC_a[[#This Row],[Max Temp (deg.C)]]</f>
        <v>-40 to +150</v>
      </c>
      <c r="AL49" s="1"/>
      <c r="AO49" s="61" t="s">
        <v>144</v>
      </c>
      <c r="AP49" s="61" t="str">
        <f t="shared" si="7"/>
        <v>-</v>
      </c>
      <c r="AQ49" s="62" t="s">
        <v>122</v>
      </c>
      <c r="AR49" s="61" t="s">
        <v>122</v>
      </c>
      <c r="AS49" s="1" t="s">
        <v>251</v>
      </c>
      <c r="AT49" s="1" t="s">
        <v>124</v>
      </c>
      <c r="AU49" s="1" t="e" vm="1">
        <f ca="1">_xlfn.IMAGE(All_PCC_a[[#This Row],[Image URL]])</f>
        <v>#NAME?</v>
      </c>
      <c r="AW49" s="1"/>
      <c r="AY49" s="1"/>
      <c r="BC49" s="1">
        <f>IF(Z49&lt;('[1]DCDC Ref'!$J$24/'[1]DCDC Ref'!$J$26)*'[1]DCDC Ref'!$J$28/100,0,1)</f>
        <v>1</v>
      </c>
      <c r="BD49" s="66">
        <f>IF(BC49=1000000000,"",('All Data'!Q49-'[1]DCDC Ref'!$J$30)/'[1]DCDC Ref'!$J$30*100)</f>
        <v>295.60439560439562</v>
      </c>
      <c r="BE49" s="67">
        <f t="shared" si="3"/>
        <v>295.60439560439562</v>
      </c>
      <c r="BF49" s="67"/>
      <c r="BG49" s="66"/>
      <c r="BH49" s="68">
        <f t="shared" si="0"/>
        <v>0</v>
      </c>
      <c r="BI49" s="67"/>
      <c r="BJ49" s="1">
        <f>IF(BC49=0,"",('All Data'!Z49-'[1]DCDC Ref'!$J$28*('[1]DCDC Ref'!$J$29/100))/'[1]DCDC Ref'!$J$28*('[1]DCDC Ref'!$J$29/100)*100)</f>
        <v>131.31034482758619</v>
      </c>
      <c r="BK49" s="68">
        <f t="shared" si="1"/>
        <v>131.31034482758619</v>
      </c>
      <c r="BL49" s="68"/>
      <c r="BM49" s="68"/>
      <c r="BN49" s="68"/>
      <c r="BO49" s="68"/>
      <c r="BQ49" s="5">
        <f t="shared" si="4"/>
        <v>1478678.5297461161</v>
      </c>
      <c r="BR49" s="5">
        <f>IF(BQ49="","",RANK(BQ49,BQ$11:BQ$9930,1)+COUNTIF(BQ$11:BQ49,BQ49)-1)</f>
        <v>52</v>
      </c>
      <c r="BS49" s="69">
        <f t="shared" si="2"/>
        <v>52</v>
      </c>
      <c r="BT49" s="1" t="str">
        <f>IFERROR(INDEX($O$11:$O$1013,MATCH(ROWS($BS$11:BS49),$BS$11:$BS$1005,0)),"")</f>
        <v>ETQP5M2R0YSC</v>
      </c>
      <c r="BU49" s="69" t="str">
        <f t="shared" si="5"/>
        <v>ETQP5M2R0YSC</v>
      </c>
    </row>
    <row r="50" spans="1:73" ht="15">
      <c r="A50" s="1">
        <v>49</v>
      </c>
      <c r="B50" s="28" t="s">
        <v>109</v>
      </c>
      <c r="D50" s="1" t="s">
        <v>110</v>
      </c>
      <c r="E50" s="58"/>
      <c r="F50" s="1" t="s">
        <v>111</v>
      </c>
      <c r="G50" s="2" t="s">
        <v>112</v>
      </c>
      <c r="H50" s="1" t="s">
        <v>113</v>
      </c>
      <c r="I50" s="2" t="s">
        <v>114</v>
      </c>
      <c r="J50" s="1" t="s">
        <v>115</v>
      </c>
      <c r="K50" s="1" t="s">
        <v>126</v>
      </c>
      <c r="L50" s="1" t="s">
        <v>127</v>
      </c>
      <c r="M50" s="1" t="s">
        <v>128</v>
      </c>
      <c r="N50" s="1" t="s">
        <v>119</v>
      </c>
      <c r="O50" s="59" t="s">
        <v>252</v>
      </c>
      <c r="P50" s="60" t="str">
        <f>MID(All_PCC_a[[#This Row],[Part Number]],7,3)</f>
        <v>2R5</v>
      </c>
      <c r="Q50" s="61">
        <v>2.5</v>
      </c>
      <c r="R50" s="61" t="str">
        <f>IF(All_PCC_a[[#This Row],[Lo (uH)]]&lt;1,"&lt;1",IF(All_PCC_a[[#This Row],[Lo (uH)]]&lt;10,"&lt;10",IF(All_PCC_a[[#This Row],[Lo (uH)]]&lt;100,"&lt;100",IF(All_PCC_a[[#This Row],[Lo (uH)]]&lt;2000,"&lt;2000",""))))</f>
        <v>&lt;10</v>
      </c>
      <c r="S50" s="61" t="str">
        <f>IFERROR(VLOOKUP(All_PCC_a[[#This Row],[Lo (uH)]],[1]Utility!$D$5:$E$43,2,1),"-")</f>
        <v>≤   3</v>
      </c>
      <c r="T50" s="62">
        <v>0.2</v>
      </c>
      <c r="U50" s="63">
        <v>2.6</v>
      </c>
      <c r="V50" s="63">
        <v>2.8600000000000003</v>
      </c>
      <c r="W50" s="61">
        <v>10</v>
      </c>
      <c r="X50" s="61">
        <v>27.7</v>
      </c>
      <c r="Y50" s="61">
        <v>23</v>
      </c>
      <c r="Z50" s="64">
        <v>32.1</v>
      </c>
      <c r="AA50" s="61">
        <f>ROUND(23.0676691729323,2)</f>
        <v>23.07</v>
      </c>
      <c r="AB50" s="1">
        <v>12.6</v>
      </c>
      <c r="AC50" s="1">
        <v>13.2</v>
      </c>
      <c r="AD50" s="61">
        <v>8</v>
      </c>
      <c r="AE50" s="1">
        <f>ROUND(All_PCC_a[[#This Row],[L (mm)]]*All_PCC_a[[#This Row],[W (mm)]],1)</f>
        <v>166.3</v>
      </c>
      <c r="AF50" s="61" t="str">
        <f>All_PCC_a[[#This Row],[L (mm)]]&amp;"  x  "&amp;All_PCC_a[[#This Row],[W (mm)]]</f>
        <v>12,6  x  13,2</v>
      </c>
      <c r="AG50" s="65" t="s">
        <v>130</v>
      </c>
      <c r="AH50" s="61" t="str">
        <f>IF(All_PCC_a[[#This Row],[Max Height (mm)]]&lt;=9,"≤ "&amp;ROUNDUP(AD50,0),"≤"&amp;ROUNDUP(AD50,0))</f>
        <v>≤ 8</v>
      </c>
      <c r="AI50" s="1">
        <v>-40</v>
      </c>
      <c r="AJ50" s="1">
        <v>160</v>
      </c>
      <c r="AK50" s="1" t="str">
        <f>All_PCC_a[[#This Row],[Min Temp (deg.C)]]&amp;" to +"&amp;All_PCC_a[[#This Row],[Max Temp (deg.C)]]</f>
        <v>-40 to +160</v>
      </c>
      <c r="AL50" s="1"/>
      <c r="AN50" s="1" t="s">
        <v>131</v>
      </c>
      <c r="AO50" s="61" t="s">
        <v>122</v>
      </c>
      <c r="AP50" s="61" t="str">
        <f t="shared" si="7"/>
        <v>-</v>
      </c>
      <c r="AQ50" s="61" t="s">
        <v>122</v>
      </c>
      <c r="AR50" s="61" t="s">
        <v>122</v>
      </c>
      <c r="AS50" s="1" t="s">
        <v>253</v>
      </c>
      <c r="AT50" s="1" t="s">
        <v>133</v>
      </c>
      <c r="AU50" s="1" t="e" vm="1">
        <f ca="1">_xlfn.IMAGE(All_PCC_a[[#This Row],[Image URL]])</f>
        <v>#NAME?</v>
      </c>
      <c r="AW50" s="1"/>
      <c r="AY50" s="1"/>
      <c r="BC50" s="1">
        <f>IF(Z50&lt;('[1]DCDC Ref'!$J$24/'[1]DCDC Ref'!$J$26)*'[1]DCDC Ref'!$J$28/100,0,1)</f>
        <v>1</v>
      </c>
      <c r="BD50" s="66">
        <f>IF(BC50=1000000000,"",('All Data'!Q50-'[1]DCDC Ref'!$J$30)/'[1]DCDC Ref'!$J$30*100)</f>
        <v>295.60439560439562</v>
      </c>
      <c r="BE50" s="67">
        <f t="shared" si="3"/>
        <v>295.60439560439562</v>
      </c>
      <c r="BF50" s="67"/>
      <c r="BG50" s="66"/>
      <c r="BH50" s="68">
        <f t="shared" si="0"/>
        <v>0</v>
      </c>
      <c r="BI50" s="67"/>
      <c r="BJ50" s="1">
        <f>IF(BC50=0,"",('All Data'!Z50-'[1]DCDC Ref'!$J$28*('[1]DCDC Ref'!$J$29/100))/'[1]DCDC Ref'!$J$28*('[1]DCDC Ref'!$J$29/100)*100)</f>
        <v>187.79310344827587</v>
      </c>
      <c r="BK50" s="68">
        <f t="shared" si="1"/>
        <v>187.79310344827587</v>
      </c>
      <c r="BL50" s="68"/>
      <c r="BM50" s="68"/>
      <c r="BN50" s="68"/>
      <c r="BO50" s="68"/>
      <c r="BQ50" s="5">
        <f t="shared" si="4"/>
        <v>1478960.9435392194</v>
      </c>
      <c r="BR50" s="5">
        <f>IF(BQ50="","",RANK(BQ50,BQ$11:BQ$9930,1)+COUNTIF(BQ$11:BQ50,BQ50)-1)</f>
        <v>55</v>
      </c>
      <c r="BS50" s="69">
        <f t="shared" si="2"/>
        <v>55</v>
      </c>
      <c r="BT50" s="1" t="str">
        <f>IFERROR(INDEX($O$11:$O$1013,MATCH(ROWS($BS$11:BS50),$BS$11:$BS$1005,0)),"")</f>
        <v>ETQP5M2R0YLC</v>
      </c>
      <c r="BU50" s="69" t="str">
        <f t="shared" si="5"/>
        <v>ETQP5M2R0YLC</v>
      </c>
    </row>
    <row r="51" spans="1:73">
      <c r="A51" s="1">
        <v>3</v>
      </c>
      <c r="B51" s="28" t="s">
        <v>109</v>
      </c>
      <c r="D51" s="1" t="s">
        <v>110</v>
      </c>
      <c r="E51" s="58"/>
      <c r="F51" s="1" t="s">
        <v>111</v>
      </c>
      <c r="G51" s="2" t="s">
        <v>112</v>
      </c>
      <c r="H51" s="1" t="s">
        <v>113</v>
      </c>
      <c r="I51" s="2" t="s">
        <v>114</v>
      </c>
      <c r="J51" s="1" t="s">
        <v>115</v>
      </c>
      <c r="K51" s="1" t="s">
        <v>116</v>
      </c>
      <c r="L51" s="1" t="s">
        <v>236</v>
      </c>
      <c r="M51" s="1" t="s">
        <v>254</v>
      </c>
      <c r="N51" s="1" t="s">
        <v>119</v>
      </c>
      <c r="O51" s="59" t="s">
        <v>255</v>
      </c>
      <c r="P51" s="60" t="str">
        <f>MID(All_PCC_a[[#This Row],[Part Number]],7,3)</f>
        <v>3R3</v>
      </c>
      <c r="Q51" s="61">
        <v>3.3</v>
      </c>
      <c r="R51" s="61" t="str">
        <f>IF(All_PCC_a[[#This Row],[Lo (uH)]]&lt;1,"&lt;1",IF(All_PCC_a[[#This Row],[Lo (uH)]]&lt;10,"&lt;10",IF(All_PCC_a[[#This Row],[Lo (uH)]]&lt;100,"&lt;100",IF(All_PCC_a[[#This Row],[Lo (uH)]]&lt;2000,"&lt;2000",""))))</f>
        <v>&lt;10</v>
      </c>
      <c r="S51" s="61" t="str">
        <f>IFERROR(VLOOKUP(All_PCC_a[[#This Row],[Lo (uH)]],[1]Utility!$D$5:$E$43,2,1),"-")</f>
        <v>≤   4</v>
      </c>
      <c r="T51" s="62">
        <v>0.2</v>
      </c>
      <c r="U51" s="70">
        <v>16.100000000000001</v>
      </c>
      <c r="V51" s="70">
        <v>17.71</v>
      </c>
      <c r="W51" s="61">
        <v>10</v>
      </c>
      <c r="X51" s="61">
        <v>8.1999999999999993</v>
      </c>
      <c r="Y51" s="61">
        <v>6.4</v>
      </c>
      <c r="Z51" s="64">
        <v>13.3</v>
      </c>
      <c r="AA51" s="61">
        <v>9.2799999999999994</v>
      </c>
      <c r="AB51" s="1">
        <v>6.5</v>
      </c>
      <c r="AC51" s="1">
        <v>6</v>
      </c>
      <c r="AD51" s="61">
        <v>4.5</v>
      </c>
      <c r="AE51" s="1">
        <f>ROUND(All_PCC_a[[#This Row],[L (mm)]]*All_PCC_a[[#This Row],[W (mm)]],1)</f>
        <v>39</v>
      </c>
      <c r="AF51" s="61" t="str">
        <f>All_PCC_a[[#This Row],[L (mm)]]&amp;"  x  "&amp;All_PCC_a[[#This Row],[W (mm)]]</f>
        <v>6,5  x  6</v>
      </c>
      <c r="AG51" s="65" t="s">
        <v>156</v>
      </c>
      <c r="AH51" s="61" t="str">
        <f>IF(All_PCC_a[[#This Row],[Max Height (mm)]]&lt;=9,"≤ "&amp;ROUNDUP(AD51,0),"≤"&amp;ROUNDUP(AD51,0))</f>
        <v>≤ 5</v>
      </c>
      <c r="AI51" s="1">
        <v>-40</v>
      </c>
      <c r="AJ51" s="1">
        <v>150</v>
      </c>
      <c r="AK51" s="1" t="str">
        <f>All_PCC_a[[#This Row],[Min Temp (deg.C)]]&amp;" to +"&amp;All_PCC_a[[#This Row],[Max Temp (deg.C)]]</f>
        <v>-40 to +150</v>
      </c>
      <c r="AL51" s="1"/>
      <c r="AO51" s="61" t="s">
        <v>122</v>
      </c>
      <c r="AP51" s="61" t="str">
        <f t="shared" si="7"/>
        <v>-</v>
      </c>
      <c r="AQ51" s="61" t="s">
        <v>122</v>
      </c>
      <c r="AR51" s="61" t="s">
        <v>122</v>
      </c>
      <c r="AS51" s="1" t="s">
        <v>256</v>
      </c>
      <c r="AT51" s="1" t="s">
        <v>124</v>
      </c>
      <c r="AU51" s="1" t="e" vm="1">
        <f ca="1">_xlfn.IMAGE(All_PCC_a[[#This Row],[Image URL]])</f>
        <v>#NAME?</v>
      </c>
      <c r="AW51" s="1"/>
      <c r="AY51" s="1"/>
      <c r="AZ51" s="1" t="str">
        <f>IF(AY51=1,COUNTIF($AY$11:AY51,1),"")</f>
        <v/>
      </c>
      <c r="BC51" s="1">
        <f>IF(Z51&lt;('[1]DCDC Ref'!$J$24/'[1]DCDC Ref'!$J$26)*'[1]DCDC Ref'!$J$28/100,0,1)</f>
        <v>1</v>
      </c>
      <c r="BD51" s="66">
        <f>IF(BC51=1000000000,"",('All Data'!Q51-'[1]DCDC Ref'!$J$30)/'[1]DCDC Ref'!$J$30*100)</f>
        <v>422.1978021978021</v>
      </c>
      <c r="BE51" s="67">
        <f t="shared" si="3"/>
        <v>422.1978021978021</v>
      </c>
      <c r="BF51" s="67"/>
      <c r="BG51" s="66"/>
      <c r="BH51" s="68">
        <f t="shared" si="0"/>
        <v>0</v>
      </c>
      <c r="BI51" s="67"/>
      <c r="BJ51" s="1">
        <f>IF(BC51=0,"",('All Data'!Z51-'[1]DCDC Ref'!$J$28*('[1]DCDC Ref'!$J$29/100))/'[1]DCDC Ref'!$J$28*('[1]DCDC Ref'!$J$29/100)*100)</f>
        <v>19.241379310344822</v>
      </c>
      <c r="BK51" s="68">
        <f t="shared" si="1"/>
        <v>19.241379310344822</v>
      </c>
      <c r="BL51" s="68"/>
      <c r="BM51" s="68"/>
      <c r="BN51" s="68"/>
      <c r="BO51" s="68"/>
      <c r="BQ51" s="5">
        <f t="shared" si="4"/>
        <v>2111085.2178855622</v>
      </c>
      <c r="BR51" s="5">
        <f>IF(BQ51="","",RANK(BQ51,BQ$11:BQ$9930,1)+COUNTIF(BQ$11:BQ51,BQ51)-1)</f>
        <v>59</v>
      </c>
      <c r="BS51" s="69">
        <f t="shared" si="2"/>
        <v>59</v>
      </c>
      <c r="BT51" s="1" t="str">
        <f>IFERROR(INDEX($O$11:$O$1013,MATCH(ROWS($BS$11:BS51),$BS$11:$BS$1005,0)),"")</f>
        <v>ETQP3M2R2KVN</v>
      </c>
      <c r="BU51" s="69" t="str">
        <f t="shared" si="5"/>
        <v>ETQP3M2R2KVN</v>
      </c>
    </row>
    <row r="52" spans="1:73">
      <c r="A52" s="1">
        <v>10</v>
      </c>
      <c r="B52" s="28" t="s">
        <v>109</v>
      </c>
      <c r="D52" s="1" t="s">
        <v>110</v>
      </c>
      <c r="E52" s="58"/>
      <c r="F52" s="1" t="s">
        <v>111</v>
      </c>
      <c r="G52" s="2" t="s">
        <v>112</v>
      </c>
      <c r="H52" s="1" t="s">
        <v>113</v>
      </c>
      <c r="I52" s="2" t="s">
        <v>114</v>
      </c>
      <c r="J52" s="1" t="s">
        <v>115</v>
      </c>
      <c r="K52" s="1" t="s">
        <v>116</v>
      </c>
      <c r="L52" s="1" t="s">
        <v>218</v>
      </c>
      <c r="M52" s="1" t="s">
        <v>219</v>
      </c>
      <c r="N52" s="1" t="s">
        <v>154</v>
      </c>
      <c r="O52" s="59" t="s">
        <v>257</v>
      </c>
      <c r="P52" s="60" t="str">
        <f>MID(All_PCC_a[[#This Row],[Part Number]],7,3)</f>
        <v>3R3</v>
      </c>
      <c r="Q52" s="85">
        <v>3.3</v>
      </c>
      <c r="R52" s="61" t="str">
        <f>IF(All_PCC_a[[#This Row],[Lo (uH)]]&lt;1,"&lt;1",IF(All_PCC_a[[#This Row],[Lo (uH)]]&lt;10,"&lt;10",IF(All_PCC_a[[#This Row],[Lo (uH)]]&lt;100,"&lt;100",IF(All_PCC_a[[#This Row],[Lo (uH)]]&lt;2000,"&lt;2000",""))))</f>
        <v>&lt;10</v>
      </c>
      <c r="S52" s="61" t="str">
        <f>IFERROR(VLOOKUP(All_PCC_a[[#This Row],[Lo (uH)]],[1]Utility!$D$5:$E$43,2,1),"-")</f>
        <v>≤   4</v>
      </c>
      <c r="T52" s="62">
        <v>0.2</v>
      </c>
      <c r="U52" s="70">
        <v>31.3</v>
      </c>
      <c r="V52" s="70">
        <v>34.430000000000007</v>
      </c>
      <c r="W52" s="61">
        <v>10</v>
      </c>
      <c r="X52" s="61">
        <v>5</v>
      </c>
      <c r="Y52" s="61">
        <v>4.0999999999999996</v>
      </c>
      <c r="Z52" s="64">
        <v>8.6</v>
      </c>
      <c r="AA52" s="61">
        <v>6.15</v>
      </c>
      <c r="AB52" s="1">
        <v>5.5</v>
      </c>
      <c r="AC52" s="1">
        <v>5</v>
      </c>
      <c r="AD52" s="61">
        <v>3</v>
      </c>
      <c r="AE52" s="1">
        <f>ROUND(All_PCC_a[[#This Row],[L (mm)]]*All_PCC_a[[#This Row],[W (mm)]],1)</f>
        <v>27.5</v>
      </c>
      <c r="AF52" s="61" t="str">
        <f>All_PCC_a[[#This Row],[L (mm)]]&amp;"  x  "&amp;All_PCC_a[[#This Row],[W (mm)]]</f>
        <v>5,5  x  5</v>
      </c>
      <c r="AG52" s="65" t="s">
        <v>138</v>
      </c>
      <c r="AH52" s="61" t="str">
        <f>IF(All_PCC_a[[#This Row],[Max Height (mm)]]&lt;=9,"≤ "&amp;ROUNDUP(AD52,0),"≤"&amp;ROUNDUP(AD52,0))</f>
        <v>≤ 3</v>
      </c>
      <c r="AI52" s="11">
        <v>-40</v>
      </c>
      <c r="AJ52" s="11">
        <v>150</v>
      </c>
      <c r="AK52" s="1" t="str">
        <f>All_PCC_a[[#This Row],[Min Temp (deg.C)]]&amp;" to +"&amp;All_PCC_a[[#This Row],[Max Temp (deg.C)]]</f>
        <v>-40 to +150</v>
      </c>
      <c r="AL52" s="1"/>
      <c r="AO52" s="61" t="s">
        <v>144</v>
      </c>
      <c r="AP52" s="61" t="str">
        <f t="shared" si="7"/>
        <v>-</v>
      </c>
      <c r="AQ52" s="62" t="s">
        <v>122</v>
      </c>
      <c r="AR52" s="61" t="s">
        <v>122</v>
      </c>
      <c r="AS52" s="1" t="s">
        <v>258</v>
      </c>
      <c r="AT52" s="1" t="s">
        <v>124</v>
      </c>
      <c r="AU52" s="1" t="e" vm="1">
        <f ca="1">_xlfn.IMAGE(All_PCC_a[[#This Row],[Image URL]])</f>
        <v>#NAME?</v>
      </c>
      <c r="AW52" s="1"/>
      <c r="AY52" s="1"/>
      <c r="AZ52" s="1" t="str">
        <f>IF(AY52=1,COUNTIF($AY$11:AY52,1),"")</f>
        <v/>
      </c>
      <c r="BC52" s="1">
        <f>IF(Z52&lt;('[1]DCDC Ref'!$J$24/'[1]DCDC Ref'!$J$26)*'[1]DCDC Ref'!$J$28/100,0,1)</f>
        <v>1</v>
      </c>
      <c r="BD52" s="66">
        <f>IF(BC52=1000000000,"",('All Data'!Q52-'[1]DCDC Ref'!$J$30)/'[1]DCDC Ref'!$J$30*100)</f>
        <v>422.1978021978021</v>
      </c>
      <c r="BE52" s="67">
        <f t="shared" si="3"/>
        <v>422.1978021978021</v>
      </c>
      <c r="BF52" s="67"/>
      <c r="BG52" s="66"/>
      <c r="BH52" s="68">
        <f t="shared" si="0"/>
        <v>0</v>
      </c>
      <c r="BI52" s="67"/>
      <c r="BJ52" s="1">
        <f>IF(BC52=0,"",('All Data'!Z52-'[1]DCDC Ref'!$J$28*('[1]DCDC Ref'!$J$29/100))/'[1]DCDC Ref'!$J$28*('[1]DCDC Ref'!$J$29/100)*100)</f>
        <v>-22.896551724137943</v>
      </c>
      <c r="BK52" s="68">
        <f t="shared" si="1"/>
        <v>10000</v>
      </c>
      <c r="BL52" s="68"/>
      <c r="BM52" s="68"/>
      <c r="BN52" s="68"/>
      <c r="BO52" s="68"/>
      <c r="BQ52" s="5">
        <f t="shared" si="4"/>
        <v>2160989.0109890103</v>
      </c>
      <c r="BR52" s="5">
        <f>IF(BQ52="","",RANK(BQ52,BQ$11:BQ$9930,1)+COUNTIF(BQ$11:BQ52,BQ52)-1)</f>
        <v>70</v>
      </c>
      <c r="BS52" s="69">
        <f t="shared" si="2"/>
        <v>70</v>
      </c>
      <c r="BT52" s="1" t="str">
        <f>IFERROR(INDEX($O$11:$O$1013,MATCH(ROWS($BS$11:BS52),$BS$11:$BS$1005,0)),"")</f>
        <v>ETQP4M2R2YFN</v>
      </c>
      <c r="BU52" s="69" t="str">
        <f t="shared" si="5"/>
        <v>ETQP4M2R2YFN</v>
      </c>
    </row>
    <row r="53" spans="1:73" ht="15">
      <c r="A53" s="1">
        <v>15</v>
      </c>
      <c r="B53" s="28" t="s">
        <v>109</v>
      </c>
      <c r="D53" s="1" t="s">
        <v>110</v>
      </c>
      <c r="E53" s="58"/>
      <c r="F53" s="1" t="s">
        <v>111</v>
      </c>
      <c r="G53" s="2" t="s">
        <v>112</v>
      </c>
      <c r="H53" s="1" t="s">
        <v>113</v>
      </c>
      <c r="I53" s="2" t="s">
        <v>114</v>
      </c>
      <c r="J53" s="1" t="s">
        <v>115</v>
      </c>
      <c r="K53" s="1" t="s">
        <v>116</v>
      </c>
      <c r="L53" s="1" t="s">
        <v>195</v>
      </c>
      <c r="M53" s="1" t="s">
        <v>196</v>
      </c>
      <c r="N53" s="1" t="s">
        <v>154</v>
      </c>
      <c r="O53" s="59" t="s">
        <v>259</v>
      </c>
      <c r="P53" s="60" t="str">
        <f>MID(All_PCC_a[[#This Row],[Part Number]],7,3)</f>
        <v>3R3</v>
      </c>
      <c r="Q53" s="61">
        <v>3.3</v>
      </c>
      <c r="R53" s="61" t="str">
        <f>IF(All_PCC_a[[#This Row],[Lo (uH)]]&lt;1,"&lt;1",IF(All_PCC_a[[#This Row],[Lo (uH)]]&lt;10,"&lt;10",IF(All_PCC_a[[#This Row],[Lo (uH)]]&lt;100,"&lt;100",IF(All_PCC_a[[#This Row],[Lo (uH)]]&lt;2000,"&lt;2000",""))))</f>
        <v>&lt;10</v>
      </c>
      <c r="S53" s="61" t="str">
        <f>IFERROR(VLOOKUP(All_PCC_a[[#This Row],[Lo (uH)]],[1]Utility!$D$5:$E$43,2,1),"-")</f>
        <v>≤   4</v>
      </c>
      <c r="T53" s="62">
        <v>0.2</v>
      </c>
      <c r="U53" s="63">
        <v>7.1</v>
      </c>
      <c r="V53" s="94">
        <v>7.81</v>
      </c>
      <c r="W53" s="61">
        <v>10</v>
      </c>
      <c r="X53" s="61">
        <v>15.7</v>
      </c>
      <c r="Y53" s="61">
        <v>13.1</v>
      </c>
      <c r="Z53" s="64">
        <v>22.7</v>
      </c>
      <c r="AA53" s="77">
        <v>16.27</v>
      </c>
      <c r="AB53" s="1">
        <v>10.7</v>
      </c>
      <c r="AC53" s="1">
        <v>10</v>
      </c>
      <c r="AD53" s="61">
        <v>5.4</v>
      </c>
      <c r="AE53" s="1">
        <f>ROUND(All_PCC_a[[#This Row],[L (mm)]]*All_PCC_a[[#This Row],[W (mm)]],1)</f>
        <v>107</v>
      </c>
      <c r="AF53" s="61" t="str">
        <f>All_PCC_a[[#This Row],[L (mm)]]&amp;"  x  "&amp;All_PCC_a[[#This Row],[W (mm)]]</f>
        <v>10,7  x  10</v>
      </c>
      <c r="AG53" s="76" t="s">
        <v>121</v>
      </c>
      <c r="AH53" s="61" t="str">
        <f>IF(All_PCC_a[[#This Row],[Max Height (mm)]]&lt;=9,"≤ "&amp;ROUNDUP(AD53,0),"≤"&amp;ROUNDUP(AD53,0))</f>
        <v>≤ 6</v>
      </c>
      <c r="AI53" s="11">
        <v>-40</v>
      </c>
      <c r="AJ53" s="11">
        <v>150</v>
      </c>
      <c r="AK53" s="1" t="str">
        <f>All_PCC_a[[#This Row],[Min Temp (deg.C)]]&amp;" to +"&amp;All_PCC_a[[#This Row],[Max Temp (deg.C)]]</f>
        <v>-40 to +150</v>
      </c>
      <c r="AL53" s="1"/>
      <c r="AO53" s="61" t="s">
        <v>144</v>
      </c>
      <c r="AP53" s="61" t="str">
        <f t="shared" si="7"/>
        <v>-</v>
      </c>
      <c r="AQ53" s="61" t="s">
        <v>122</v>
      </c>
      <c r="AR53" s="61" t="s">
        <v>122</v>
      </c>
      <c r="AS53" s="1" t="s">
        <v>260</v>
      </c>
      <c r="AT53" s="1" t="s">
        <v>124</v>
      </c>
      <c r="AU53" s="1" t="e" vm="1">
        <f ca="1">_xlfn.IMAGE(All_PCC_a[[#This Row],[Image URL]])</f>
        <v>#NAME?</v>
      </c>
      <c r="AW53" s="1"/>
      <c r="AY53" s="1"/>
      <c r="BC53" s="1">
        <f>IF(Z53&lt;('[1]DCDC Ref'!$J$24/'[1]DCDC Ref'!$J$26)*'[1]DCDC Ref'!$J$28/100,0,1)</f>
        <v>1</v>
      </c>
      <c r="BD53" s="66">
        <f>IF(BC53=1000000000,"",('All Data'!Q53-'[1]DCDC Ref'!$J$30)/'[1]DCDC Ref'!$J$30*100)</f>
        <v>422.1978021978021</v>
      </c>
      <c r="BE53" s="67">
        <f t="shared" si="3"/>
        <v>422.1978021978021</v>
      </c>
      <c r="BF53" s="67"/>
      <c r="BG53" s="66"/>
      <c r="BH53" s="68">
        <f t="shared" si="0"/>
        <v>0</v>
      </c>
      <c r="BI53" s="67"/>
      <c r="BJ53" s="1">
        <f>IF(BC53=0,"",('All Data'!Z53-'[1]DCDC Ref'!$J$28*('[1]DCDC Ref'!$J$29/100))/'[1]DCDC Ref'!$J$28*('[1]DCDC Ref'!$J$29/100)*100)</f>
        <v>103.51724137931031</v>
      </c>
      <c r="BK53" s="68">
        <f t="shared" si="1"/>
        <v>103.51724137931031</v>
      </c>
      <c r="BL53" s="68"/>
      <c r="BM53" s="68"/>
      <c r="BN53" s="68"/>
      <c r="BO53" s="68"/>
      <c r="BQ53" s="5">
        <f t="shared" si="4"/>
        <v>2111506.597195907</v>
      </c>
      <c r="BR53" s="5">
        <f>IF(BQ53="","",RANK(BQ53,BQ$11:BQ$9930,1)+COUNTIF(BQ$11:BQ53,BQ53)-1)</f>
        <v>64</v>
      </c>
      <c r="BS53" s="69">
        <f t="shared" si="2"/>
        <v>64</v>
      </c>
      <c r="BT53" s="1" t="str">
        <f>IFERROR(INDEX($O$11:$O$1013,MATCH(ROWS($BS$11:BS53),$BS$11:$BS$1005,0)),"")</f>
        <v>ETQP4M2R2KFM</v>
      </c>
      <c r="BU53" s="69" t="str">
        <f t="shared" si="5"/>
        <v>ETQP4M2R2KFM</v>
      </c>
    </row>
    <row r="54" spans="1:73" ht="15">
      <c r="A54" s="1">
        <v>43</v>
      </c>
      <c r="B54" s="28" t="s">
        <v>109</v>
      </c>
      <c r="D54" s="1" t="s">
        <v>110</v>
      </c>
      <c r="E54" s="58"/>
      <c r="F54" s="1" t="s">
        <v>111</v>
      </c>
      <c r="G54" s="2" t="s">
        <v>112</v>
      </c>
      <c r="H54" s="1" t="s">
        <v>113</v>
      </c>
      <c r="I54" s="2" t="s">
        <v>114</v>
      </c>
      <c r="J54" s="1" t="s">
        <v>115</v>
      </c>
      <c r="K54" s="1" t="s">
        <v>116</v>
      </c>
      <c r="L54" s="1" t="s">
        <v>199</v>
      </c>
      <c r="M54" s="1" t="s">
        <v>200</v>
      </c>
      <c r="N54" s="1" t="s">
        <v>154</v>
      </c>
      <c r="O54" s="59" t="s">
        <v>261</v>
      </c>
      <c r="P54" s="60" t="str">
        <f>MID(All_PCC_a[[#This Row],[Part Number]],7,3)</f>
        <v>3R3</v>
      </c>
      <c r="Q54" s="61">
        <v>3.3</v>
      </c>
      <c r="R54" s="61" t="str">
        <f>IF(All_PCC_a[[#This Row],[Lo (uH)]]&lt;1,"&lt;1",IF(All_PCC_a[[#This Row],[Lo (uH)]]&lt;10,"&lt;10",IF(All_PCC_a[[#This Row],[Lo (uH)]]&lt;100,"&lt;100",IF(All_PCC_a[[#This Row],[Lo (uH)]]&lt;2000,"&lt;2000",""))))</f>
        <v>&lt;10</v>
      </c>
      <c r="S54" s="61" t="str">
        <f>IFERROR(VLOOKUP(All_PCC_a[[#This Row],[Lo (uH)]],[1]Utility!$D$5:$E$43,2,1),"-")</f>
        <v>≤   4</v>
      </c>
      <c r="T54" s="62">
        <v>0.2</v>
      </c>
      <c r="U54" s="63">
        <v>6</v>
      </c>
      <c r="V54" s="63">
        <v>6.6000000000000005</v>
      </c>
      <c r="W54" s="61">
        <v>10</v>
      </c>
      <c r="X54" s="61">
        <v>17</v>
      </c>
      <c r="Y54" s="61">
        <v>14.2</v>
      </c>
      <c r="Z54" s="64">
        <v>26.3</v>
      </c>
      <c r="AA54" s="77">
        <v>19.690000000000001</v>
      </c>
      <c r="AB54" s="1">
        <v>10.9</v>
      </c>
      <c r="AC54" s="1">
        <v>10</v>
      </c>
      <c r="AD54" s="61">
        <v>6</v>
      </c>
      <c r="AE54" s="1">
        <f>ROUND(All_PCC_a[[#This Row],[L (mm)]]*All_PCC_a[[#This Row],[W (mm)]],1)</f>
        <v>109</v>
      </c>
      <c r="AF54" s="61" t="str">
        <f>All_PCC_a[[#This Row],[L (mm)]]&amp;"  x  "&amp;All_PCC_a[[#This Row],[W (mm)]]</f>
        <v>10,9  x  10</v>
      </c>
      <c r="AG54" s="76" t="s">
        <v>121</v>
      </c>
      <c r="AH54" s="61" t="str">
        <f>IF(All_PCC_a[[#This Row],[Max Height (mm)]]&lt;=9,"≤ "&amp;ROUNDUP(AD54,0),"≤"&amp;ROUNDUP(AD54,0))</f>
        <v>≤ 6</v>
      </c>
      <c r="AI54" s="11">
        <v>-40</v>
      </c>
      <c r="AJ54" s="11">
        <v>150</v>
      </c>
      <c r="AK54" s="1" t="str">
        <f>All_PCC_a[[#This Row],[Min Temp (deg.C)]]&amp;" to +"&amp;All_PCC_a[[#This Row],[Max Temp (deg.C)]]</f>
        <v>-40 to +150</v>
      </c>
      <c r="AL54" s="1"/>
      <c r="AO54" s="61" t="s">
        <v>144</v>
      </c>
      <c r="AP54" s="61" t="str">
        <f t="shared" si="7"/>
        <v>-</v>
      </c>
      <c r="AQ54" s="62" t="s">
        <v>122</v>
      </c>
      <c r="AR54" s="61" t="s">
        <v>122</v>
      </c>
      <c r="AS54" s="1" t="s">
        <v>262</v>
      </c>
      <c r="AT54" s="1" t="s">
        <v>124</v>
      </c>
      <c r="AU54" s="1" t="e" vm="1">
        <f ca="1">_xlfn.IMAGE(All_PCC_a[[#This Row],[Image URL]])</f>
        <v>#NAME?</v>
      </c>
      <c r="AW54" s="1"/>
      <c r="AY54" s="1"/>
      <c r="BC54" s="1">
        <f>IF(Z54&lt;('[1]DCDC Ref'!$J$24/'[1]DCDC Ref'!$J$26)*'[1]DCDC Ref'!$J$28/100,0,1)</f>
        <v>1</v>
      </c>
      <c r="BD54" s="66">
        <f>IF(BC54=1000000000,"",('All Data'!Q54-'[1]DCDC Ref'!$J$30)/'[1]DCDC Ref'!$J$30*100)</f>
        <v>422.1978021978021</v>
      </c>
      <c r="BE54" s="67">
        <f t="shared" si="3"/>
        <v>422.1978021978021</v>
      </c>
      <c r="BF54" s="67"/>
      <c r="BG54" s="66"/>
      <c r="BH54" s="68">
        <f t="shared" si="0"/>
        <v>0</v>
      </c>
      <c r="BI54" s="67"/>
      <c r="BJ54" s="1">
        <f>IF(BC54=0,"",('All Data'!Z54-'[1]DCDC Ref'!$J$28*('[1]DCDC Ref'!$J$29/100))/'[1]DCDC Ref'!$J$28*('[1]DCDC Ref'!$J$29/100)*100)</f>
        <v>135.79310344827584</v>
      </c>
      <c r="BK54" s="68">
        <f t="shared" si="1"/>
        <v>135.79310344827584</v>
      </c>
      <c r="BL54" s="68"/>
      <c r="BM54" s="68"/>
      <c r="BN54" s="68"/>
      <c r="BO54" s="68"/>
      <c r="BQ54" s="5">
        <f t="shared" si="4"/>
        <v>2111667.9765062518</v>
      </c>
      <c r="BR54" s="5">
        <f>IF(BQ54="","",RANK(BQ54,BQ$11:BQ$9930,1)+COUNTIF(BQ$11:BQ54,BQ54)-1)</f>
        <v>67</v>
      </c>
      <c r="BS54" s="69">
        <f t="shared" si="2"/>
        <v>67</v>
      </c>
      <c r="BT54" s="1" t="str">
        <f>IFERROR(INDEX($O$11:$O$1013,MATCH(ROWS($BS$11:BS54),$BS$11:$BS$1005,0)),"")</f>
        <v>ETQP4M2R2KVK</v>
      </c>
      <c r="BU54" s="69" t="str">
        <f t="shared" si="5"/>
        <v>ETQP4M2R2KVK</v>
      </c>
    </row>
    <row r="55" spans="1:73" ht="15">
      <c r="A55" s="1">
        <v>50</v>
      </c>
      <c r="B55" s="28" t="s">
        <v>109</v>
      </c>
      <c r="D55" s="1" t="s">
        <v>110</v>
      </c>
      <c r="E55" s="58"/>
      <c r="F55" s="1" t="s">
        <v>111</v>
      </c>
      <c r="G55" s="2" t="s">
        <v>112</v>
      </c>
      <c r="H55" s="1" t="s">
        <v>113</v>
      </c>
      <c r="I55" s="2" t="s">
        <v>114</v>
      </c>
      <c r="J55" s="1" t="s">
        <v>115</v>
      </c>
      <c r="K55" s="1" t="s">
        <v>126</v>
      </c>
      <c r="L55" s="1" t="s">
        <v>127</v>
      </c>
      <c r="M55" s="1" t="s">
        <v>128</v>
      </c>
      <c r="N55" s="1" t="s">
        <v>119</v>
      </c>
      <c r="O55" s="59" t="s">
        <v>263</v>
      </c>
      <c r="P55" s="60" t="str">
        <f>MID(All_PCC_a[[#This Row],[Part Number]],7,3)</f>
        <v>3R3</v>
      </c>
      <c r="Q55" s="61">
        <v>3.3</v>
      </c>
      <c r="R55" s="61" t="str">
        <f>IF(All_PCC_a[[#This Row],[Lo (uH)]]&lt;1,"&lt;1",IF(All_PCC_a[[#This Row],[Lo (uH)]]&lt;10,"&lt;10",IF(All_PCC_a[[#This Row],[Lo (uH)]]&lt;100,"&lt;100",IF(All_PCC_a[[#This Row],[Lo (uH)]]&lt;2000,"&lt;2000",""))))</f>
        <v>&lt;10</v>
      </c>
      <c r="S55" s="61" t="str">
        <f>IFERROR(VLOOKUP(All_PCC_a[[#This Row],[Lo (uH)]],[1]Utility!$D$5:$E$43,2,1),"-")</f>
        <v>≤   4</v>
      </c>
      <c r="T55" s="62">
        <v>0.2</v>
      </c>
      <c r="U55" s="63">
        <v>3.6</v>
      </c>
      <c r="V55" s="63">
        <v>3.9600000000000004</v>
      </c>
      <c r="W55" s="61">
        <v>10</v>
      </c>
      <c r="X55" s="61">
        <v>23.6</v>
      </c>
      <c r="Y55" s="61">
        <v>19.600000000000001</v>
      </c>
      <c r="Z55" s="64">
        <v>27.6</v>
      </c>
      <c r="AA55" s="61">
        <f>ROUND(19.7757437070938,2)</f>
        <v>19.78</v>
      </c>
      <c r="AB55" s="1">
        <v>12.6</v>
      </c>
      <c r="AC55" s="1">
        <v>13.1</v>
      </c>
      <c r="AD55" s="61">
        <v>8</v>
      </c>
      <c r="AE55" s="1">
        <f>ROUND(All_PCC_a[[#This Row],[L (mm)]]*All_PCC_a[[#This Row],[W (mm)]],1)</f>
        <v>165.1</v>
      </c>
      <c r="AF55" s="61" t="str">
        <f>All_PCC_a[[#This Row],[L (mm)]]&amp;"  x  "&amp;All_PCC_a[[#This Row],[W (mm)]]</f>
        <v>12,6  x  13,1</v>
      </c>
      <c r="AG55" s="65" t="s">
        <v>130</v>
      </c>
      <c r="AH55" s="61" t="str">
        <f>IF(All_PCC_a[[#This Row],[Max Height (mm)]]&lt;=9,"≤ "&amp;ROUNDUP(AD55,0),"≤"&amp;ROUNDUP(AD55,0))</f>
        <v>≤ 8</v>
      </c>
      <c r="AI55" s="1">
        <v>-40</v>
      </c>
      <c r="AJ55" s="1">
        <v>160</v>
      </c>
      <c r="AK55" s="1" t="str">
        <f>All_PCC_a[[#This Row],[Min Temp (deg.C)]]&amp;" to +"&amp;All_PCC_a[[#This Row],[Max Temp (deg.C)]]</f>
        <v>-40 to +160</v>
      </c>
      <c r="AL55" s="1"/>
      <c r="AN55" s="1" t="s">
        <v>131</v>
      </c>
      <c r="AO55" s="61" t="s">
        <v>122</v>
      </c>
      <c r="AP55" s="61" t="str">
        <f t="shared" si="7"/>
        <v>-</v>
      </c>
      <c r="AQ55" s="61" t="s">
        <v>122</v>
      </c>
      <c r="AR55" s="61" t="s">
        <v>122</v>
      </c>
      <c r="AS55" s="1" t="s">
        <v>264</v>
      </c>
      <c r="AT55" s="1" t="s">
        <v>133</v>
      </c>
      <c r="AU55" s="1" t="e" vm="1">
        <f ca="1">_xlfn.IMAGE(All_PCC_a[[#This Row],[Image URL]])</f>
        <v>#NAME?</v>
      </c>
      <c r="AW55" s="1"/>
      <c r="AY55" s="1"/>
      <c r="BC55" s="1">
        <f>IF(Z55&lt;('[1]DCDC Ref'!$J$24/'[1]DCDC Ref'!$J$26)*'[1]DCDC Ref'!$J$28/100,0,1)</f>
        <v>1</v>
      </c>
      <c r="BD55" s="66">
        <f>IF(BC55=1000000000,"",('All Data'!Q55-'[1]DCDC Ref'!$J$30)/'[1]DCDC Ref'!$J$30*100)</f>
        <v>422.1978021978021</v>
      </c>
      <c r="BE55" s="67">
        <f t="shared" si="3"/>
        <v>422.1978021978021</v>
      </c>
      <c r="BF55" s="67"/>
      <c r="BG55" s="66"/>
      <c r="BH55" s="68">
        <f t="shared" si="0"/>
        <v>0</v>
      </c>
      <c r="BI55" s="67"/>
      <c r="BJ55" s="1">
        <f>IF(BC55=0,"",('All Data'!Z55-'[1]DCDC Ref'!$J$28*('[1]DCDC Ref'!$J$29/100))/'[1]DCDC Ref'!$J$28*('[1]DCDC Ref'!$J$29/100)*100)</f>
        <v>147.44827586206895</v>
      </c>
      <c r="BK55" s="68">
        <f t="shared" si="1"/>
        <v>147.44827586206895</v>
      </c>
      <c r="BL55" s="68"/>
      <c r="BM55" s="68"/>
      <c r="BN55" s="68"/>
      <c r="BO55" s="68"/>
      <c r="BQ55" s="5">
        <f t="shared" si="4"/>
        <v>2111726.2523683207</v>
      </c>
      <c r="BR55" s="5">
        <f>IF(BQ55="","",RANK(BQ55,BQ$11:BQ$9930,1)+COUNTIF(BQ$11:BQ55,BQ55)-1)</f>
        <v>68</v>
      </c>
      <c r="BS55" s="69">
        <f t="shared" si="2"/>
        <v>68</v>
      </c>
      <c r="BT55" s="1" t="str">
        <f>IFERROR(INDEX($O$11:$O$1013,MATCH(ROWS($BS$11:BS55),$BS$11:$BS$1005,0)),"")</f>
        <v>ETQP4M2R2KVC</v>
      </c>
      <c r="BU55" s="69" t="str">
        <f t="shared" si="5"/>
        <v>ETQP4M2R2KVC</v>
      </c>
    </row>
    <row r="56" spans="1:73" ht="15">
      <c r="A56" s="1">
        <v>55</v>
      </c>
      <c r="B56" s="28" t="s">
        <v>109</v>
      </c>
      <c r="D56" s="1" t="s">
        <v>110</v>
      </c>
      <c r="E56" s="58"/>
      <c r="F56" s="1" t="s">
        <v>111</v>
      </c>
      <c r="G56" s="2" t="s">
        <v>112</v>
      </c>
      <c r="H56" s="1" t="s">
        <v>113</v>
      </c>
      <c r="I56" s="2" t="s">
        <v>114</v>
      </c>
      <c r="J56" s="1" t="s">
        <v>115</v>
      </c>
      <c r="K56" s="1" t="s">
        <v>134</v>
      </c>
      <c r="L56" s="1" t="s">
        <v>135</v>
      </c>
      <c r="M56" s="1" t="s">
        <v>136</v>
      </c>
      <c r="N56" s="1" t="s">
        <v>119</v>
      </c>
      <c r="O56" s="59" t="s">
        <v>265</v>
      </c>
      <c r="P56" s="60" t="str">
        <f>MID(All_PCC_a[[#This Row],[Part Number]],7,3)</f>
        <v>3R3</v>
      </c>
      <c r="Q56" s="61">
        <v>3.3</v>
      </c>
      <c r="R56" s="61" t="str">
        <f>IF(All_PCC_a[[#This Row],[Lo (uH)]]&lt;1,"&lt;1",IF(All_PCC_a[[#This Row],[Lo (uH)]]&lt;10,"&lt;10",IF(All_PCC_a[[#This Row],[Lo (uH)]]&lt;100,"&lt;100",IF(All_PCC_a[[#This Row],[Lo (uH)]]&lt;2000,"&lt;2000",""))))</f>
        <v>&lt;10</v>
      </c>
      <c r="S56" s="61" t="str">
        <f>IFERROR(VLOOKUP(All_PCC_a[[#This Row],[Lo (uH)]],[1]Utility!$D$5:$E$43,2,1),"-")</f>
        <v>≤   4</v>
      </c>
      <c r="T56" s="62">
        <v>0.2</v>
      </c>
      <c r="U56" s="63">
        <v>27.3</v>
      </c>
      <c r="V56" s="63">
        <v>30.030000000000005</v>
      </c>
      <c r="W56" s="61">
        <v>10</v>
      </c>
      <c r="X56" s="61">
        <v>5.4</v>
      </c>
      <c r="Y56" s="61">
        <v>4.4000000000000004</v>
      </c>
      <c r="Z56" s="64">
        <v>8</v>
      </c>
      <c r="AA56" s="61">
        <v>5.81</v>
      </c>
      <c r="AB56" s="1">
        <v>5.5</v>
      </c>
      <c r="AC56" s="1">
        <v>5</v>
      </c>
      <c r="AD56" s="61">
        <v>3</v>
      </c>
      <c r="AE56" s="1">
        <f>ROUND(All_PCC_a[[#This Row],[L (mm)]]*All_PCC_a[[#This Row],[W (mm)]],1)</f>
        <v>27.5</v>
      </c>
      <c r="AF56" s="61" t="str">
        <f>All_PCC_a[[#This Row],[L (mm)]]&amp;"  x  "&amp;All_PCC_a[[#This Row],[W (mm)]]</f>
        <v>5,5  x  5</v>
      </c>
      <c r="AG56" s="65" t="s">
        <v>138</v>
      </c>
      <c r="AH56" s="61" t="str">
        <f>IF(All_PCC_a[[#This Row],[Max Height (mm)]]&lt;=9,"≤ "&amp;ROUNDUP(AD56,0),"≤"&amp;ROUNDUP(AD56,0))</f>
        <v>≤ 3</v>
      </c>
      <c r="AI56" s="1">
        <v>-55</v>
      </c>
      <c r="AJ56" s="1">
        <v>155</v>
      </c>
      <c r="AK56" s="1" t="str">
        <f>All_PCC_a[[#This Row],[Min Temp (deg.C)]]&amp;" to +"&amp;All_PCC_a[[#This Row],[Max Temp (deg.C)]]</f>
        <v>-55 to +155</v>
      </c>
      <c r="AL56" s="1"/>
      <c r="AO56" s="61" t="s">
        <v>122</v>
      </c>
      <c r="AP56" s="61" t="str">
        <f t="shared" si="7"/>
        <v>-</v>
      </c>
      <c r="AQ56" s="61" t="s">
        <v>122</v>
      </c>
      <c r="AR56" s="61" t="s">
        <v>122</v>
      </c>
      <c r="AS56" s="1" t="s">
        <v>266</v>
      </c>
      <c r="AT56" s="1" t="s">
        <v>140</v>
      </c>
      <c r="AU56" s="1" t="e" vm="1">
        <f ca="1">_xlfn.IMAGE(All_PCC_a[[#This Row],[Image URL]])</f>
        <v>#NAME?</v>
      </c>
      <c r="AW56" s="1"/>
      <c r="AY56" s="1"/>
      <c r="BC56" s="1">
        <f>IF(Z56&lt;('[1]DCDC Ref'!$J$24/'[1]DCDC Ref'!$J$26)*'[1]DCDC Ref'!$J$28/100,0,1)</f>
        <v>1</v>
      </c>
      <c r="BD56" s="66">
        <f>IF(BC56=1000000000,"",('All Data'!Q56-'[1]DCDC Ref'!$J$30)/'[1]DCDC Ref'!$J$30*100)</f>
        <v>422.1978021978021</v>
      </c>
      <c r="BE56" s="67">
        <f t="shared" si="3"/>
        <v>422.1978021978021</v>
      </c>
      <c r="BF56" s="67"/>
      <c r="BG56" s="66"/>
      <c r="BH56" s="68">
        <f t="shared" si="0"/>
        <v>0</v>
      </c>
      <c r="BI56" s="67"/>
      <c r="BJ56" s="1">
        <f>IF(BC56=0,"",('All Data'!Z56-'[1]DCDC Ref'!$J$28*('[1]DCDC Ref'!$J$29/100))/'[1]DCDC Ref'!$J$28*('[1]DCDC Ref'!$J$29/100)*100)</f>
        <v>-28.275862068965523</v>
      </c>
      <c r="BK56" s="68">
        <f t="shared" si="1"/>
        <v>10000</v>
      </c>
      <c r="BL56" s="68"/>
      <c r="BM56" s="68"/>
      <c r="BN56" s="68"/>
      <c r="BO56" s="68"/>
      <c r="BQ56" s="5">
        <f t="shared" si="4"/>
        <v>2160989.0109890103</v>
      </c>
      <c r="BR56" s="5">
        <f>IF(BQ56="","",RANK(BQ56,BQ$11:BQ$9930,1)+COUNTIF(BQ$11:BQ56,BQ56)-1)</f>
        <v>71</v>
      </c>
      <c r="BS56" s="69">
        <f t="shared" si="2"/>
        <v>71</v>
      </c>
      <c r="BT56" s="1" t="str">
        <f>IFERROR(INDEX($O$11:$O$1013,MATCH(ROWS($BS$11:BS56),$BS$11:$BS$1005,0)),"")</f>
        <v>ETQP3M2R2YFP</v>
      </c>
      <c r="BU56" s="69" t="str">
        <f t="shared" si="5"/>
        <v>ETQP3M2R2YFP</v>
      </c>
    </row>
    <row r="57" spans="1:73" ht="15">
      <c r="A57" s="1">
        <v>66</v>
      </c>
      <c r="B57" s="28" t="s">
        <v>109</v>
      </c>
      <c r="D57" s="1" t="s">
        <v>110</v>
      </c>
      <c r="E57" s="58"/>
      <c r="F57" s="1" t="s">
        <v>111</v>
      </c>
      <c r="G57" s="2" t="s">
        <v>112</v>
      </c>
      <c r="H57" s="1" t="s">
        <v>113</v>
      </c>
      <c r="I57" s="2" t="s">
        <v>114</v>
      </c>
      <c r="J57" s="1" t="s">
        <v>115</v>
      </c>
      <c r="K57" s="1" t="s">
        <v>134</v>
      </c>
      <c r="L57" s="1" t="s">
        <v>164</v>
      </c>
      <c r="M57" s="1" t="s">
        <v>165</v>
      </c>
      <c r="N57" s="1" t="s">
        <v>119</v>
      </c>
      <c r="O57" s="59" t="s">
        <v>267</v>
      </c>
      <c r="P57" s="60" t="str">
        <f>MID(All_PCC_a[[#This Row],[Part Number]],7,3)</f>
        <v>3R3</v>
      </c>
      <c r="Q57" s="61">
        <v>3.3</v>
      </c>
      <c r="R57" s="61" t="str">
        <f>IF(All_PCC_a[[#This Row],[Lo (uH)]]&lt;1,"&lt;1",IF(All_PCC_a[[#This Row],[Lo (uH)]]&lt;10,"&lt;10",IF(All_PCC_a[[#This Row],[Lo (uH)]]&lt;100,"&lt;100",IF(All_PCC_a[[#This Row],[Lo (uH)]]&lt;2000,"&lt;2000",""))))</f>
        <v>&lt;10</v>
      </c>
      <c r="S57" s="61" t="str">
        <f>IFERROR(VLOOKUP(All_PCC_a[[#This Row],[Lo (uH)]],[1]Utility!$D$5:$E$43,2,1),"-")</f>
        <v>≤   4</v>
      </c>
      <c r="T57" s="62">
        <v>0.2</v>
      </c>
      <c r="U57" s="63">
        <v>24.1</v>
      </c>
      <c r="V57" s="63">
        <v>26.510000000000005</v>
      </c>
      <c r="W57" s="61">
        <v>10</v>
      </c>
      <c r="X57" s="61">
        <v>6.1</v>
      </c>
      <c r="Y57" s="61">
        <v>5</v>
      </c>
      <c r="Z57" s="64">
        <v>11.5</v>
      </c>
      <c r="AA57" s="61">
        <v>7.3</v>
      </c>
      <c r="AB57" s="1">
        <v>6.4</v>
      </c>
      <c r="AC57" s="1">
        <v>6</v>
      </c>
      <c r="AD57" s="61">
        <v>3</v>
      </c>
      <c r="AE57" s="1">
        <f>ROUND(All_PCC_a[[#This Row],[L (mm)]]*All_PCC_a[[#This Row],[W (mm)]],1)</f>
        <v>38.4</v>
      </c>
      <c r="AF57" s="61" t="str">
        <f>All_PCC_a[[#This Row],[L (mm)]]&amp;"  x  "&amp;All_PCC_a[[#This Row],[W (mm)]]</f>
        <v>6,4  x  6</v>
      </c>
      <c r="AG57" s="65" t="s">
        <v>156</v>
      </c>
      <c r="AH57" s="61" t="str">
        <f>IF(All_PCC_a[[#This Row],[Max Height (mm)]]&lt;=9,"≤ "&amp;ROUNDUP(AD57,0),"≤"&amp;ROUNDUP(AD57,0))</f>
        <v>≤ 3</v>
      </c>
      <c r="AI57" s="1">
        <v>-55</v>
      </c>
      <c r="AJ57" s="1">
        <v>155</v>
      </c>
      <c r="AK57" s="1" t="str">
        <f>All_PCC_a[[#This Row],[Min Temp (deg.C)]]&amp;" to +"&amp;All_PCC_a[[#This Row],[Max Temp (deg.C)]]</f>
        <v>-55 to +155</v>
      </c>
      <c r="AL57" s="1"/>
      <c r="AO57" s="61" t="s">
        <v>122</v>
      </c>
      <c r="AP57" s="61" t="str">
        <f t="shared" si="7"/>
        <v>-</v>
      </c>
      <c r="AQ57" s="61" t="s">
        <v>122</v>
      </c>
      <c r="AR57" s="61" t="s">
        <v>122</v>
      </c>
      <c r="AS57" s="1" t="s">
        <v>268</v>
      </c>
      <c r="AT57" s="1" t="s">
        <v>140</v>
      </c>
      <c r="AU57" s="1" t="e" vm="1">
        <f ca="1">_xlfn.IMAGE(All_PCC_a[[#This Row],[Image URL]])</f>
        <v>#NAME?</v>
      </c>
      <c r="AW57" s="1"/>
      <c r="AY57" s="1"/>
      <c r="BC57" s="1">
        <f>IF(Z57&lt;('[1]DCDC Ref'!$J$24/'[1]DCDC Ref'!$J$26)*'[1]DCDC Ref'!$J$28/100,0,1)</f>
        <v>1</v>
      </c>
      <c r="BD57" s="66">
        <f>IF(BC57=1000000000,"",('All Data'!Q57-'[1]DCDC Ref'!$J$30)/'[1]DCDC Ref'!$J$30*100)</f>
        <v>422.1978021978021</v>
      </c>
      <c r="BE57" s="67">
        <f t="shared" si="3"/>
        <v>422.1978021978021</v>
      </c>
      <c r="BF57" s="67"/>
      <c r="BG57" s="66"/>
      <c r="BH57" s="68">
        <f t="shared" si="0"/>
        <v>0</v>
      </c>
      <c r="BI57" s="67"/>
      <c r="BJ57" s="1">
        <f>IF(BC57=0,"",('All Data'!Z57-'[1]DCDC Ref'!$J$28*('[1]DCDC Ref'!$J$29/100))/'[1]DCDC Ref'!$J$28*('[1]DCDC Ref'!$J$29/100)*100)</f>
        <v>3.1034482758620574</v>
      </c>
      <c r="BK57" s="68">
        <f t="shared" si="1"/>
        <v>3.1034482758620574</v>
      </c>
      <c r="BL57" s="68"/>
      <c r="BM57" s="68"/>
      <c r="BN57" s="68"/>
      <c r="BO57" s="68"/>
      <c r="BQ57" s="5">
        <f t="shared" si="4"/>
        <v>2111004.5282303896</v>
      </c>
      <c r="BR57" s="5">
        <f>IF(BQ57="","",RANK(BQ57,BQ$11:BQ$9930,1)+COUNTIF(BQ$11:BQ57,BQ57)-1)</f>
        <v>57</v>
      </c>
      <c r="BS57" s="69">
        <f t="shared" si="2"/>
        <v>57</v>
      </c>
      <c r="BT57" s="1" t="str">
        <f>IFERROR(INDEX($O$11:$O$1013,MATCH(ROWS($BS$11:BS57),$BS$11:$BS$1005,0)),"")</f>
        <v>ETQP3M2R2KVP</v>
      </c>
      <c r="BU57" s="69" t="str">
        <f t="shared" si="5"/>
        <v>ETQP3M2R2KVP</v>
      </c>
    </row>
    <row r="58" spans="1:73" ht="15">
      <c r="A58" s="1">
        <v>77</v>
      </c>
      <c r="B58" s="28" t="s">
        <v>109</v>
      </c>
      <c r="D58" s="1" t="s">
        <v>110</v>
      </c>
      <c r="E58" s="58"/>
      <c r="F58" s="1" t="s">
        <v>111</v>
      </c>
      <c r="G58" s="2" t="s">
        <v>112</v>
      </c>
      <c r="H58" s="1" t="s">
        <v>113</v>
      </c>
      <c r="I58" s="2" t="s">
        <v>114</v>
      </c>
      <c r="J58" s="1" t="s">
        <v>115</v>
      </c>
      <c r="K58" s="1" t="s">
        <v>134</v>
      </c>
      <c r="L58" s="1" t="s">
        <v>168</v>
      </c>
      <c r="M58" s="1" t="s">
        <v>169</v>
      </c>
      <c r="N58" s="1" t="s">
        <v>119</v>
      </c>
      <c r="O58" s="59" t="s">
        <v>269</v>
      </c>
      <c r="P58" s="60" t="str">
        <f>MID(All_PCC_a[[#This Row],[Part Number]],7,3)</f>
        <v>3R3</v>
      </c>
      <c r="Q58" s="61">
        <v>3.3</v>
      </c>
      <c r="R58" s="61" t="str">
        <f>IF(All_PCC_a[[#This Row],[Lo (uH)]]&lt;1,"&lt;1",IF(All_PCC_a[[#This Row],[Lo (uH)]]&lt;10,"&lt;10",IF(All_PCC_a[[#This Row],[Lo (uH)]]&lt;100,"&lt;100",IF(All_PCC_a[[#This Row],[Lo (uH)]]&lt;2000,"&lt;2000",""))))</f>
        <v>&lt;10</v>
      </c>
      <c r="S58" s="61" t="str">
        <f>IFERROR(VLOOKUP(All_PCC_a[[#This Row],[Lo (uH)]],[1]Utility!$D$5:$E$43,2,1),"-")</f>
        <v>≤   4</v>
      </c>
      <c r="T58" s="62">
        <v>0.2</v>
      </c>
      <c r="U58" s="63">
        <v>14.1</v>
      </c>
      <c r="V58" s="63">
        <v>15.51</v>
      </c>
      <c r="W58" s="61">
        <v>10</v>
      </c>
      <c r="X58" s="61">
        <v>8.9</v>
      </c>
      <c r="Y58" s="61">
        <v>7.6</v>
      </c>
      <c r="Z58" s="64">
        <v>17.399999999999999</v>
      </c>
      <c r="AA58" s="61">
        <v>11.71</v>
      </c>
      <c r="AB58" s="1">
        <v>8.4</v>
      </c>
      <c r="AC58" s="1">
        <v>8</v>
      </c>
      <c r="AD58" s="61">
        <v>4</v>
      </c>
      <c r="AE58" s="1">
        <f>ROUND(All_PCC_a[[#This Row],[L (mm)]]*All_PCC_a[[#This Row],[W (mm)]],1)</f>
        <v>67.2</v>
      </c>
      <c r="AF58" s="61" t="str">
        <f>All_PCC_a[[#This Row],[L (mm)]]&amp;"  x  "&amp;All_PCC_a[[#This Row],[W (mm)]]</f>
        <v>8,4  x  8</v>
      </c>
      <c r="AG58" s="76" t="s">
        <v>171</v>
      </c>
      <c r="AH58" s="61" t="str">
        <f>IF(All_PCC_a[[#This Row],[Max Height (mm)]]&lt;=9,"≤ "&amp;ROUNDUP(AD58,0),"≤"&amp;ROUNDUP(AD58,0))</f>
        <v>≤ 4</v>
      </c>
      <c r="AI58" s="1">
        <v>-55</v>
      </c>
      <c r="AJ58" s="1">
        <v>155</v>
      </c>
      <c r="AK58" s="1" t="str">
        <f>All_PCC_a[[#This Row],[Min Temp (deg.C)]]&amp;" to +"&amp;All_PCC_a[[#This Row],[Max Temp (deg.C)]]</f>
        <v>-55 to +155</v>
      </c>
      <c r="AL58" s="1"/>
      <c r="AO58" s="61" t="s">
        <v>122</v>
      </c>
      <c r="AP58" s="61" t="str">
        <f t="shared" si="7"/>
        <v>-</v>
      </c>
      <c r="AQ58" s="61" t="s">
        <v>122</v>
      </c>
      <c r="AR58" s="61" t="s">
        <v>122</v>
      </c>
      <c r="AS58" s="1" t="s">
        <v>270</v>
      </c>
      <c r="AT58" s="1" t="s">
        <v>140</v>
      </c>
      <c r="AU58" s="1" t="e" vm="1">
        <f ca="1">_xlfn.IMAGE(All_PCC_a[[#This Row],[Image URL]])</f>
        <v>#NAME?</v>
      </c>
      <c r="AW58" s="1"/>
      <c r="AY58" s="1"/>
      <c r="BC58" s="1">
        <f>IF(Z58&lt;('[1]DCDC Ref'!$J$24/'[1]DCDC Ref'!$J$26)*'[1]DCDC Ref'!$J$28/100,0,1)</f>
        <v>1</v>
      </c>
      <c r="BD58" s="66">
        <f>IF(BC58=1000000000,"",('All Data'!Q58-'[1]DCDC Ref'!$J$30)/'[1]DCDC Ref'!$J$30*100)</f>
        <v>422.1978021978021</v>
      </c>
      <c r="BE58" s="67">
        <f t="shared" si="3"/>
        <v>422.1978021978021</v>
      </c>
      <c r="BF58" s="67"/>
      <c r="BG58" s="66"/>
      <c r="BH58" s="68">
        <f t="shared" si="0"/>
        <v>0</v>
      </c>
      <c r="BI58" s="67"/>
      <c r="BJ58" s="1">
        <f>IF(BC58=0,"",('All Data'!Z58-'[1]DCDC Ref'!$J$28*('[1]DCDC Ref'!$J$29/100))/'[1]DCDC Ref'!$J$28*('[1]DCDC Ref'!$J$29/100)*100)</f>
        <v>55.999999999999972</v>
      </c>
      <c r="BK58" s="68">
        <f t="shared" si="1"/>
        <v>55.999999999999972</v>
      </c>
      <c r="BL58" s="68"/>
      <c r="BM58" s="68"/>
      <c r="BN58" s="68"/>
      <c r="BO58" s="68"/>
      <c r="BQ58" s="5">
        <f t="shared" si="4"/>
        <v>2111269.0109890103</v>
      </c>
      <c r="BR58" s="5">
        <f>IF(BQ58="","",RANK(BQ58,BQ$11:BQ$9930,1)+COUNTIF(BQ$11:BQ58,BQ58)-1)</f>
        <v>62</v>
      </c>
      <c r="BS58" s="69">
        <f t="shared" si="2"/>
        <v>62</v>
      </c>
      <c r="BT58" s="1" t="str">
        <f>IFERROR(INDEX($O$11:$O$1013,MATCH(ROWS($BS$11:BS58),$BS$11:$BS$1005,0)),"")</f>
        <v>ETQP3M2R2HFP</v>
      </c>
      <c r="BU58" s="69" t="str">
        <f t="shared" si="5"/>
        <v>ETQP3M2R2HFP</v>
      </c>
    </row>
    <row r="59" spans="1:73" ht="15">
      <c r="A59" s="1">
        <v>89</v>
      </c>
      <c r="B59" s="28" t="s">
        <v>109</v>
      </c>
      <c r="D59" s="1" t="s">
        <v>110</v>
      </c>
      <c r="E59" s="58"/>
      <c r="F59" s="1" t="s">
        <v>111</v>
      </c>
      <c r="G59" s="2" t="s">
        <v>112</v>
      </c>
      <c r="H59" s="1" t="s">
        <v>113</v>
      </c>
      <c r="I59" s="2" t="s">
        <v>114</v>
      </c>
      <c r="J59" s="1" t="s">
        <v>115</v>
      </c>
      <c r="K59" s="1" t="s">
        <v>134</v>
      </c>
      <c r="L59" s="1" t="s">
        <v>191</v>
      </c>
      <c r="M59" s="1" t="s">
        <v>192</v>
      </c>
      <c r="N59" s="1" t="s">
        <v>119</v>
      </c>
      <c r="O59" s="59" t="s">
        <v>271</v>
      </c>
      <c r="P59" s="60" t="str">
        <f>MID(All_PCC_a[[#This Row],[Part Number]],7,3)</f>
        <v>3R3</v>
      </c>
      <c r="Q59" s="61">
        <v>3.3</v>
      </c>
      <c r="R59" s="61" t="str">
        <f>IF(All_PCC_a[[#This Row],[Lo (uH)]]&lt;1,"&lt;1",IF(All_PCC_a[[#This Row],[Lo (uH)]]&lt;10,"&lt;10",IF(All_PCC_a[[#This Row],[Lo (uH)]]&lt;100,"&lt;100",IF(All_PCC_a[[#This Row],[Lo (uH)]]&lt;2000,"&lt;2000",""))))</f>
        <v>&lt;10</v>
      </c>
      <c r="S59" s="61" t="str">
        <f>IFERROR(VLOOKUP(All_PCC_a[[#This Row],[Lo (uH)]],[1]Utility!$D$5:$E$43,2,1),"-")</f>
        <v>≤   4</v>
      </c>
      <c r="T59" s="62">
        <v>0.2</v>
      </c>
      <c r="U59" s="63">
        <v>9.4</v>
      </c>
      <c r="V59" s="63">
        <v>10.340000000000002</v>
      </c>
      <c r="W59" s="61">
        <v>10</v>
      </c>
      <c r="X59" s="61">
        <v>12.6</v>
      </c>
      <c r="Y59" s="86">
        <v>10.3</v>
      </c>
      <c r="Z59" s="87">
        <v>17.100000000000001</v>
      </c>
      <c r="AA59" s="61">
        <v>12.66</v>
      </c>
      <c r="AB59" s="1">
        <v>10.7</v>
      </c>
      <c r="AC59" s="1">
        <v>10</v>
      </c>
      <c r="AD59" s="61">
        <v>4</v>
      </c>
      <c r="AE59" s="1">
        <f>ROUND(All_PCC_a[[#This Row],[L (mm)]]*All_PCC_a[[#This Row],[W (mm)]],1)</f>
        <v>107</v>
      </c>
      <c r="AF59" s="61" t="str">
        <f>All_PCC_a[[#This Row],[L (mm)]]&amp;"  x  "&amp;All_PCC_a[[#This Row],[W (mm)]]</f>
        <v>10,7  x  10</v>
      </c>
      <c r="AG59" s="65" t="s">
        <v>121</v>
      </c>
      <c r="AH59" s="61" t="str">
        <f>IF(All_PCC_a[[#This Row],[Max Height (mm)]]&lt;=9,"≤ "&amp;ROUNDUP(AD59,0),"≤"&amp;ROUNDUP(AD59,0))</f>
        <v>≤ 4</v>
      </c>
      <c r="AI59" s="1">
        <v>-55</v>
      </c>
      <c r="AJ59" s="1">
        <v>155</v>
      </c>
      <c r="AK59" s="1" t="str">
        <f>All_PCC_a[[#This Row],[Min Temp (deg.C)]]&amp;" to +"&amp;All_PCC_a[[#This Row],[Max Temp (deg.C)]]</f>
        <v>-55 to +155</v>
      </c>
      <c r="AL59" s="1"/>
      <c r="AO59" s="61" t="s">
        <v>122</v>
      </c>
      <c r="AP59" s="61" t="str">
        <f t="shared" si="7"/>
        <v>-</v>
      </c>
      <c r="AQ59" s="61" t="s">
        <v>122</v>
      </c>
      <c r="AR59" s="61" t="s">
        <v>122</v>
      </c>
      <c r="AS59" s="1" t="s">
        <v>272</v>
      </c>
      <c r="AT59" s="1" t="s">
        <v>140</v>
      </c>
      <c r="AU59" s="1" t="e" vm="1">
        <f ca="1">_xlfn.IMAGE(All_PCC_a[[#This Row],[Image URL]])</f>
        <v>#NAME?</v>
      </c>
      <c r="AW59" s="1"/>
      <c r="AY59" s="1"/>
      <c r="BC59" s="1">
        <f>IF(Z59&lt;('[1]DCDC Ref'!$J$24/'[1]DCDC Ref'!$J$26)*'[1]DCDC Ref'!$J$28/100,0,1)</f>
        <v>1</v>
      </c>
      <c r="BD59" s="66">
        <f>IF(BC59=1000000000,"",('All Data'!Q59-'[1]DCDC Ref'!$J$30)/'[1]DCDC Ref'!$J$30*100)</f>
        <v>422.1978021978021</v>
      </c>
      <c r="BE59" s="67">
        <f t="shared" si="3"/>
        <v>422.1978021978021</v>
      </c>
      <c r="BF59" s="67"/>
      <c r="BG59" s="66"/>
      <c r="BH59" s="68">
        <f t="shared" si="0"/>
        <v>0</v>
      </c>
      <c r="BI59" s="67"/>
      <c r="BJ59" s="1">
        <f>IF(BC59=0,"",('All Data'!Z59-'[1]DCDC Ref'!$J$28*('[1]DCDC Ref'!$J$29/100))/'[1]DCDC Ref'!$J$28*('[1]DCDC Ref'!$J$29/100)*100)</f>
        <v>53.310344827586199</v>
      </c>
      <c r="BK59" s="68">
        <f t="shared" si="1"/>
        <v>53.310344827586199</v>
      </c>
      <c r="BL59" s="68"/>
      <c r="BM59" s="68"/>
      <c r="BN59" s="68"/>
      <c r="BO59" s="68"/>
      <c r="BQ59" s="5">
        <f t="shared" si="4"/>
        <v>2111255.5627131481</v>
      </c>
      <c r="BR59" s="5">
        <f>IF(BQ59="","",RANK(BQ59,BQ$11:BQ$9930,1)+COUNTIF(BQ$11:BQ59,BQ59)-1)</f>
        <v>61</v>
      </c>
      <c r="BS59" s="69">
        <f t="shared" si="2"/>
        <v>61</v>
      </c>
      <c r="BT59" s="1" t="str">
        <f>IFERROR(INDEX($O$11:$O$1013,MATCH(ROWS($BS$11:BS59),$BS$11:$BS$1005,0)),"")</f>
        <v>ETQP5M2R5YSK</v>
      </c>
      <c r="BU59" s="69" t="str">
        <f t="shared" si="5"/>
        <v>ETQP5M2R5YSK</v>
      </c>
    </row>
    <row r="60" spans="1:73" ht="15">
      <c r="A60" s="1">
        <v>97</v>
      </c>
      <c r="B60" s="28" t="s">
        <v>109</v>
      </c>
      <c r="D60" s="1" t="s">
        <v>110</v>
      </c>
      <c r="E60" s="58"/>
      <c r="F60" s="1" t="s">
        <v>111</v>
      </c>
      <c r="G60" s="2" t="s">
        <v>112</v>
      </c>
      <c r="H60" s="1" t="s">
        <v>113</v>
      </c>
      <c r="I60" s="2" t="s">
        <v>114</v>
      </c>
      <c r="J60" s="1" t="s">
        <v>115</v>
      </c>
      <c r="K60" s="1" t="s">
        <v>273</v>
      </c>
      <c r="L60" s="1" t="s">
        <v>274</v>
      </c>
      <c r="M60" s="1" t="s">
        <v>275</v>
      </c>
      <c r="N60" s="1" t="s">
        <v>119</v>
      </c>
      <c r="O60" s="59" t="s">
        <v>276</v>
      </c>
      <c r="P60" s="60" t="str">
        <f>MID(All_PCC_a[[#This Row],[Part Number]],7,3)</f>
        <v>3R3</v>
      </c>
      <c r="Q60" s="61">
        <v>3.3</v>
      </c>
      <c r="R60" s="61" t="str">
        <f>IF(All_PCC_a[[#This Row],[Lo (uH)]]&lt;1,"&lt;1",IF(All_PCC_a[[#This Row],[Lo (uH)]]&lt;10,"&lt;10",IF(All_PCC_a[[#This Row],[Lo (uH)]]&lt;100,"&lt;100",IF(All_PCC_a[[#This Row],[Lo (uH)]]&lt;2000,"&lt;2000",""))))</f>
        <v>&lt;10</v>
      </c>
      <c r="S60" s="61" t="str">
        <f>IFERROR(VLOOKUP(All_PCC_a[[#This Row],[Lo (uH)]],[1]Utility!$D$5:$E$43,2,1),"-")</f>
        <v>≤   4</v>
      </c>
      <c r="T60" s="62">
        <v>0.2</v>
      </c>
      <c r="U60" s="63">
        <v>13.1</v>
      </c>
      <c r="V60" s="63">
        <v>14.41</v>
      </c>
      <c r="W60" s="61">
        <v>10</v>
      </c>
      <c r="X60" s="61">
        <v>9.1999999999999993</v>
      </c>
      <c r="Y60" s="86">
        <v>7.2</v>
      </c>
      <c r="Z60" s="87">
        <v>12</v>
      </c>
      <c r="AA60" s="61">
        <v>8.9</v>
      </c>
      <c r="AB60" s="1">
        <v>6.4</v>
      </c>
      <c r="AC60" s="1">
        <v>6</v>
      </c>
      <c r="AD60" s="61">
        <v>4.8</v>
      </c>
      <c r="AE60" s="1">
        <f>ROUND(All_PCC_a[[#This Row],[L (mm)]]*All_PCC_a[[#This Row],[W (mm)]],1)</f>
        <v>38.4</v>
      </c>
      <c r="AF60" s="61" t="str">
        <f>All_PCC_a[[#This Row],[L (mm)]]&amp;"  x  "&amp;All_PCC_a[[#This Row],[W (mm)]]</f>
        <v>6,4  x  6</v>
      </c>
      <c r="AG60" s="65" t="s">
        <v>156</v>
      </c>
      <c r="AH60" s="61" t="str">
        <f>IF(All_PCC_a[[#This Row],[Max Height (mm)]]&lt;=9,"≤ "&amp;ROUNDUP(AD60,0),"≤"&amp;ROUNDUP(AD60,0))</f>
        <v>≤ 5</v>
      </c>
      <c r="AI60" s="1">
        <v>-40</v>
      </c>
      <c r="AJ60" s="1">
        <v>150</v>
      </c>
      <c r="AK60" s="1" t="str">
        <f>All_PCC_a[[#This Row],[Min Temp (deg.C)]]&amp;" to +"&amp;All_PCC_a[[#This Row],[Max Temp (deg.C)]]</f>
        <v>-40 to +150</v>
      </c>
      <c r="AL60" s="1"/>
      <c r="AO60" s="61" t="s">
        <v>122</v>
      </c>
      <c r="AP60" s="61" t="str">
        <f t="shared" si="7"/>
        <v>-</v>
      </c>
      <c r="AQ60" s="61" t="s">
        <v>122</v>
      </c>
      <c r="AR60" s="61" t="s">
        <v>122</v>
      </c>
      <c r="AS60" s="1" t="s">
        <v>277</v>
      </c>
      <c r="AT60" s="1" t="s">
        <v>278</v>
      </c>
      <c r="AU60" s="1" t="e" vm="1">
        <f ca="1">_xlfn.IMAGE(All_PCC_a[[#This Row],[Image URL]])</f>
        <v>#NAME?</v>
      </c>
      <c r="AW60" s="1"/>
      <c r="AY60" s="1"/>
      <c r="BC60" s="1">
        <f>IF(Z60&lt;('[1]DCDC Ref'!$J$24/'[1]DCDC Ref'!$J$26)*'[1]DCDC Ref'!$J$28/100,0,1)</f>
        <v>1</v>
      </c>
      <c r="BD60" s="66">
        <f>IF(BC60=1000000000,"",('All Data'!Q60-'[1]DCDC Ref'!$J$30)/'[1]DCDC Ref'!$J$30*100)</f>
        <v>422.1978021978021</v>
      </c>
      <c r="BE60" s="67">
        <f t="shared" si="3"/>
        <v>422.1978021978021</v>
      </c>
      <c r="BF60" s="67"/>
      <c r="BG60" s="66"/>
      <c r="BH60" s="68">
        <f t="shared" si="0"/>
        <v>0</v>
      </c>
      <c r="BI60" s="67"/>
      <c r="BJ60" s="1">
        <f>IF(BC60=0,"",('All Data'!Z60-'[1]DCDC Ref'!$J$28*('[1]DCDC Ref'!$J$29/100))/'[1]DCDC Ref'!$J$28*('[1]DCDC Ref'!$J$29/100)*100)</f>
        <v>7.5862068965517127</v>
      </c>
      <c r="BK60" s="68">
        <f t="shared" si="1"/>
        <v>7.5862068965517127</v>
      </c>
      <c r="BL60" s="68"/>
      <c r="BM60" s="68"/>
      <c r="BN60" s="68"/>
      <c r="BO60" s="68"/>
      <c r="BQ60" s="5">
        <f t="shared" si="4"/>
        <v>2111026.9420234929</v>
      </c>
      <c r="BR60" s="5">
        <f>IF(BQ60="","",RANK(BQ60,BQ$11:BQ$9930,1)+COUNTIF(BQ$11:BQ60,BQ60)-1)</f>
        <v>58</v>
      </c>
      <c r="BS60" s="69">
        <f t="shared" si="2"/>
        <v>58</v>
      </c>
      <c r="BT60" s="1" t="str">
        <f>IFERROR(INDEX($O$11:$O$1013,MATCH(ROWS($BS$11:BS60),$BS$11:$BS$1005,0)),"")</f>
        <v>ETQP5M2R5YFK</v>
      </c>
      <c r="BU60" s="69" t="str">
        <f t="shared" si="5"/>
        <v>ETQP5M2R5YFK</v>
      </c>
    </row>
    <row r="61" spans="1:73" ht="15">
      <c r="A61" s="1">
        <v>109</v>
      </c>
      <c r="B61" s="28" t="s">
        <v>109</v>
      </c>
      <c r="D61" s="75" t="s">
        <v>110</v>
      </c>
      <c r="E61" s="78"/>
      <c r="F61" s="91" t="s">
        <v>111</v>
      </c>
      <c r="G61" s="79" t="s">
        <v>112</v>
      </c>
      <c r="H61" s="75" t="s">
        <v>113</v>
      </c>
      <c r="I61" s="79" t="s">
        <v>114</v>
      </c>
      <c r="J61" s="75" t="s">
        <v>115</v>
      </c>
      <c r="K61" s="75" t="s">
        <v>116</v>
      </c>
      <c r="L61" s="75" t="s">
        <v>279</v>
      </c>
      <c r="M61" s="75" t="s">
        <v>280</v>
      </c>
      <c r="N61" s="75" t="s">
        <v>119</v>
      </c>
      <c r="O61" s="59" t="s">
        <v>281</v>
      </c>
      <c r="P61" s="60" t="str">
        <f>MID(All_PCC_a[[#This Row],[Part Number]],7,3)</f>
        <v>3R3</v>
      </c>
      <c r="Q61" s="80">
        <v>3.3</v>
      </c>
      <c r="R61" s="80" t="str">
        <f>IF(All_PCC_a[[#This Row],[Lo (uH)]]&lt;1,"&lt;1",IF(All_PCC_a[[#This Row],[Lo (uH)]]&lt;10,"&lt;10",IF(All_PCC_a[[#This Row],[Lo (uH)]]&lt;100,"&lt;100",IF(All_PCC_a[[#This Row],[Lo (uH)]]&lt;2000,"&lt;2000",""))))</f>
        <v>&lt;10</v>
      </c>
      <c r="S61" s="80" t="str">
        <f>IFERROR(VLOOKUP(All_PCC_a[[#This Row],[Lo (uH)]],[1]Utility!$D$5:$E$43,2,1),"-")</f>
        <v>≤   4</v>
      </c>
      <c r="T61" s="72">
        <v>0.2</v>
      </c>
      <c r="U61" s="88">
        <v>11.9</v>
      </c>
      <c r="V61" s="88">
        <f>All_PCC_a[[#This Row],[DCR Typ (mOhm)]]*1.1</f>
        <v>13.090000000000002</v>
      </c>
      <c r="W61" s="80">
        <v>10</v>
      </c>
      <c r="X61" s="92">
        <v>10.4</v>
      </c>
      <c r="Y61" s="80">
        <v>8.3000000000000007</v>
      </c>
      <c r="Z61" s="90">
        <v>14.4</v>
      </c>
      <c r="AA61" s="80">
        <v>10.34</v>
      </c>
      <c r="AB61" s="75">
        <v>7.5</v>
      </c>
      <c r="AC61" s="75">
        <v>7</v>
      </c>
      <c r="AD61" s="80">
        <v>5.4</v>
      </c>
      <c r="AE61" s="75">
        <f>ROUND(All_PCC_a[[#This Row],[L (mm)]]*All_PCC_a[[#This Row],[W (mm)]],1)</f>
        <v>52.5</v>
      </c>
      <c r="AF61" s="61" t="str">
        <f>All_PCC_a[[#This Row],[L (mm)]]&amp;"  x  "&amp;All_PCC_a[[#This Row],[W (mm)]]</f>
        <v>7,5  x  7</v>
      </c>
      <c r="AG61" s="74" t="s">
        <v>282</v>
      </c>
      <c r="AH61" s="61" t="str">
        <f>IF(All_PCC_a[[#This Row],[Max Height (mm)]]&lt;=9,"≤ "&amp;ROUNDUP(AD61,0),"≤"&amp;ROUNDUP(AD61,0))</f>
        <v>≤ 6</v>
      </c>
      <c r="AI61" s="93">
        <v>-40</v>
      </c>
      <c r="AJ61" s="75">
        <v>150</v>
      </c>
      <c r="AK61" s="1" t="str">
        <f>All_PCC_a[[#This Row],[Min Temp (deg.C)]]&amp;" to +"&amp;All_PCC_a[[#This Row],[Max Temp (deg.C)]]</f>
        <v>-40 to +150</v>
      </c>
      <c r="AL61" s="75"/>
      <c r="AM61" s="75"/>
      <c r="AN61" s="75"/>
      <c r="AO61" s="80" t="s">
        <v>122</v>
      </c>
      <c r="AP61" s="92" t="str">
        <f t="shared" si="7"/>
        <v>-</v>
      </c>
      <c r="AQ61" s="80" t="s">
        <v>122</v>
      </c>
      <c r="AR61" s="80" t="s">
        <v>122</v>
      </c>
      <c r="AS61" s="75" t="s">
        <v>283</v>
      </c>
      <c r="AT61" s="1" t="s">
        <v>124</v>
      </c>
      <c r="AU61" s="1" t="e" vm="1">
        <f ca="1">_xlfn.IMAGE(All_PCC_a[[#This Row],[Image URL]])</f>
        <v>#NAME?</v>
      </c>
      <c r="AV61" s="75"/>
      <c r="AW61" s="75"/>
      <c r="AY61" s="1"/>
      <c r="BC61" s="1">
        <f>IF(Z61&lt;('[1]DCDC Ref'!$J$24/'[1]DCDC Ref'!$J$26)*'[1]DCDC Ref'!$J$28/100,0,1)</f>
        <v>1</v>
      </c>
      <c r="BD61" s="66">
        <f>IF(BC61=1000000000,"",('All Data'!Q61-'[1]DCDC Ref'!$J$30)/'[1]DCDC Ref'!$J$30*100)</f>
        <v>422.1978021978021</v>
      </c>
      <c r="BE61" s="67">
        <f t="shared" si="3"/>
        <v>422.1978021978021</v>
      </c>
      <c r="BF61" s="67"/>
      <c r="BG61" s="66"/>
      <c r="BH61" s="68">
        <f t="shared" si="0"/>
        <v>0</v>
      </c>
      <c r="BI61" s="67"/>
      <c r="BJ61" s="1">
        <f>IF(BC61=0,"",('All Data'!Z61-'[1]DCDC Ref'!$J$28*('[1]DCDC Ref'!$J$29/100))/'[1]DCDC Ref'!$J$28*('[1]DCDC Ref'!$J$29/100)*100)</f>
        <v>29.103448275862061</v>
      </c>
      <c r="BK61" s="68">
        <f t="shared" si="1"/>
        <v>29.103448275862061</v>
      </c>
      <c r="BL61" s="68"/>
      <c r="BM61" s="68"/>
      <c r="BN61" s="68"/>
      <c r="BO61" s="68"/>
      <c r="BQ61" s="5">
        <f t="shared" si="4"/>
        <v>2111134.5282303896</v>
      </c>
      <c r="BR61" s="5">
        <f>IF(BQ61="","",RANK(BQ61,BQ$11:BQ$9930,1)+COUNTIF(BQ$11:BQ61,BQ61)-1)</f>
        <v>60</v>
      </c>
      <c r="BS61" s="69">
        <f t="shared" si="2"/>
        <v>60</v>
      </c>
      <c r="BT61" s="1" t="str">
        <f>IFERROR(INDEX($O$11:$O$1013,MATCH(ROWS($BS$11:BS61),$BS$11:$BS$1005,0)),"")</f>
        <v>ETQP6M2R5YSC</v>
      </c>
      <c r="BU61" s="69" t="str">
        <f t="shared" si="5"/>
        <v>ETQP6M2R5YSC</v>
      </c>
    </row>
    <row r="62" spans="1:73" ht="15">
      <c r="A62" s="1">
        <v>110</v>
      </c>
      <c r="B62" s="28" t="s">
        <v>109</v>
      </c>
      <c r="D62" s="75" t="s">
        <v>110</v>
      </c>
      <c r="E62" s="78"/>
      <c r="F62" s="91" t="s">
        <v>111</v>
      </c>
      <c r="G62" s="79" t="s">
        <v>112</v>
      </c>
      <c r="H62" s="75" t="s">
        <v>113</v>
      </c>
      <c r="I62" s="79" t="s">
        <v>114</v>
      </c>
      <c r="J62" s="75" t="s">
        <v>115</v>
      </c>
      <c r="K62" s="75" t="s">
        <v>116</v>
      </c>
      <c r="L62" s="75" t="s">
        <v>246</v>
      </c>
      <c r="M62" s="75" t="s">
        <v>284</v>
      </c>
      <c r="N62" s="75" t="s">
        <v>119</v>
      </c>
      <c r="O62" s="59" t="s">
        <v>285</v>
      </c>
      <c r="P62" s="60" t="str">
        <f>MID(All_PCC_a[[#This Row],[Part Number]],7,3)</f>
        <v>3R3</v>
      </c>
      <c r="Q62" s="80">
        <v>3.3</v>
      </c>
      <c r="R62" s="80" t="str">
        <f>IF(All_PCC_a[[#This Row],[Lo (uH)]]&lt;1,"&lt;1",IF(All_PCC_a[[#This Row],[Lo (uH)]]&lt;10,"&lt;10",IF(All_PCC_a[[#This Row],[Lo (uH)]]&lt;100,"&lt;100",IF(All_PCC_a[[#This Row],[Lo (uH)]]&lt;2000,"&lt;2000",""))))</f>
        <v>&lt;10</v>
      </c>
      <c r="S62" s="80" t="str">
        <f>IFERROR(VLOOKUP(All_PCC_a[[#This Row],[Lo (uH)]],[1]Utility!$D$5:$E$43,2,1),"-")</f>
        <v>≤   4</v>
      </c>
      <c r="T62" s="72">
        <v>0.2</v>
      </c>
      <c r="U62" s="88">
        <v>9.5</v>
      </c>
      <c r="V62" s="88">
        <f>All_PCC_a[[#This Row],[DCR Typ (mOhm)]]*1.1</f>
        <v>10.450000000000001</v>
      </c>
      <c r="W62" s="80">
        <v>10</v>
      </c>
      <c r="X62" s="92">
        <v>12.5</v>
      </c>
      <c r="Y62" s="80">
        <v>10.7</v>
      </c>
      <c r="Z62" s="90">
        <v>17.899999999999999</v>
      </c>
      <c r="AA62" s="80">
        <v>12.96</v>
      </c>
      <c r="AB62" s="75">
        <v>8.5</v>
      </c>
      <c r="AC62" s="75">
        <v>8</v>
      </c>
      <c r="AD62" s="80">
        <v>5.4</v>
      </c>
      <c r="AE62" s="75">
        <f>ROUND(All_PCC_a[[#This Row],[L (mm)]]*All_PCC_a[[#This Row],[W (mm)]],1)</f>
        <v>68</v>
      </c>
      <c r="AF62" s="61" t="str">
        <f>All_PCC_a[[#This Row],[L (mm)]]&amp;"  x  "&amp;All_PCC_a[[#This Row],[W (mm)]]</f>
        <v>8,5  x  8</v>
      </c>
      <c r="AG62" s="65" t="s">
        <v>171</v>
      </c>
      <c r="AH62" s="61" t="str">
        <f>IF(All_PCC_a[[#This Row],[Max Height (mm)]]&lt;=9,"≤ "&amp;ROUNDUP(AD62,0),"≤"&amp;ROUNDUP(AD62,0))</f>
        <v>≤ 6</v>
      </c>
      <c r="AI62" s="93">
        <v>-40</v>
      </c>
      <c r="AJ62" s="75">
        <v>150</v>
      </c>
      <c r="AK62" s="1" t="str">
        <f>All_PCC_a[[#This Row],[Min Temp (deg.C)]]&amp;" to +"&amp;All_PCC_a[[#This Row],[Max Temp (deg.C)]]</f>
        <v>-40 to +150</v>
      </c>
      <c r="AL62" s="75"/>
      <c r="AM62" s="75"/>
      <c r="AN62" s="75"/>
      <c r="AO62" s="80" t="s">
        <v>122</v>
      </c>
      <c r="AP62" s="92" t="str">
        <f t="shared" si="7"/>
        <v>-</v>
      </c>
      <c r="AQ62" s="80" t="s">
        <v>122</v>
      </c>
      <c r="AR62" s="80" t="s">
        <v>122</v>
      </c>
      <c r="AS62" s="75" t="s">
        <v>286</v>
      </c>
      <c r="AT62" s="1" t="s">
        <v>124</v>
      </c>
      <c r="AU62" s="1" t="e" vm="1">
        <f ca="1">_xlfn.IMAGE(All_PCC_a[[#This Row],[Image URL]])</f>
        <v>#NAME?</v>
      </c>
      <c r="AV62" s="75"/>
      <c r="AW62" s="75"/>
      <c r="AY62" s="1"/>
      <c r="BC62" s="1">
        <f>IF(Z62&lt;('[1]DCDC Ref'!$J$24/'[1]DCDC Ref'!$J$26)*'[1]DCDC Ref'!$J$28/100,0,1)</f>
        <v>1</v>
      </c>
      <c r="BD62" s="66">
        <f>IF(BC62=1000000000,"",('All Data'!Q62-'[1]DCDC Ref'!$J$30)/'[1]DCDC Ref'!$J$30*100)</f>
        <v>422.1978021978021</v>
      </c>
      <c r="BE62" s="67">
        <f t="shared" si="3"/>
        <v>422.1978021978021</v>
      </c>
      <c r="BF62" s="67"/>
      <c r="BG62" s="66"/>
      <c r="BH62" s="68">
        <f t="shared" si="0"/>
        <v>0</v>
      </c>
      <c r="BI62" s="67"/>
      <c r="BJ62" s="1">
        <f>IF(BC62=0,"",('All Data'!Z62-'[1]DCDC Ref'!$J$28*('[1]DCDC Ref'!$J$29/100))/'[1]DCDC Ref'!$J$28*('[1]DCDC Ref'!$J$29/100)*100)</f>
        <v>60.482758620689623</v>
      </c>
      <c r="BK62" s="68">
        <f t="shared" si="1"/>
        <v>60.482758620689623</v>
      </c>
      <c r="BL62" s="68"/>
      <c r="BM62" s="68"/>
      <c r="BN62" s="68"/>
      <c r="BO62" s="68"/>
      <c r="BQ62" s="5">
        <f t="shared" si="4"/>
        <v>2111291.4247821136</v>
      </c>
      <c r="BR62" s="5">
        <f>IF(BQ62="","",RANK(BQ62,BQ$11:BQ$9930,1)+COUNTIF(BQ$11:BQ62,BQ62)-1)</f>
        <v>63</v>
      </c>
      <c r="BS62" s="69">
        <f t="shared" si="2"/>
        <v>63</v>
      </c>
      <c r="BT62" s="1" t="str">
        <f>IFERROR(INDEX($O$11:$O$1013,MATCH(ROWS($BS$11:BS62),$BS$11:$BS$1005,0)),"")</f>
        <v>ETQP6M2R5YLC</v>
      </c>
      <c r="BU62" s="69" t="str">
        <f t="shared" si="5"/>
        <v>ETQP6M2R5YLC</v>
      </c>
    </row>
    <row r="63" spans="1:73" ht="15">
      <c r="A63" s="1">
        <v>111</v>
      </c>
      <c r="B63" s="28" t="s">
        <v>109</v>
      </c>
      <c r="D63" s="75" t="s">
        <v>110</v>
      </c>
      <c r="E63" s="78"/>
      <c r="F63" s="91" t="s">
        <v>111</v>
      </c>
      <c r="G63" s="79" t="s">
        <v>112</v>
      </c>
      <c r="H63" s="75" t="s">
        <v>113</v>
      </c>
      <c r="I63" s="79" t="s">
        <v>114</v>
      </c>
      <c r="J63" s="75" t="s">
        <v>115</v>
      </c>
      <c r="K63" s="75" t="s">
        <v>116</v>
      </c>
      <c r="L63" s="75" t="s">
        <v>287</v>
      </c>
      <c r="M63" s="75" t="s">
        <v>288</v>
      </c>
      <c r="N63" s="75" t="s">
        <v>119</v>
      </c>
      <c r="O63" s="59" t="s">
        <v>289</v>
      </c>
      <c r="P63" s="60" t="str">
        <f>MID(All_PCC_a[[#This Row],[Part Number]],7,3)</f>
        <v>3R3</v>
      </c>
      <c r="Q63" s="80">
        <v>3.3</v>
      </c>
      <c r="R63" s="92" t="str">
        <f>IF(All_PCC_a[[#This Row],[Lo (uH)]]&lt;1,"&lt;1",IF(All_PCC_a[[#This Row],[Lo (uH)]]&lt;10,"&lt;10",IF(All_PCC_a[[#This Row],[Lo (uH)]]&lt;100,"&lt;100",IF(All_PCC_a[[#This Row],[Lo (uH)]]&lt;2000,"&lt;2000",""))))</f>
        <v>&lt;10</v>
      </c>
      <c r="S63" s="80" t="str">
        <f>IFERROR(VLOOKUP(All_PCC_a[[#This Row],[Lo (uH)]],[1]Utility!$D$5:$E$43,2,1),"-")</f>
        <v>≤   4</v>
      </c>
      <c r="T63" s="72">
        <v>0.2</v>
      </c>
      <c r="U63" s="88">
        <v>7.1</v>
      </c>
      <c r="V63" s="88">
        <v>7.81</v>
      </c>
      <c r="W63" s="80">
        <v>10</v>
      </c>
      <c r="X63" s="92">
        <v>14.7</v>
      </c>
      <c r="Y63" s="80">
        <v>11.8</v>
      </c>
      <c r="Z63" s="90">
        <v>23.4</v>
      </c>
      <c r="AA63" s="77">
        <v>16.63</v>
      </c>
      <c r="AB63" s="75">
        <v>10.7</v>
      </c>
      <c r="AC63" s="75">
        <v>10</v>
      </c>
      <c r="AD63" s="80">
        <v>5</v>
      </c>
      <c r="AE63" s="75">
        <f>ROUND(All_PCC_a[[#This Row],[L (mm)]]*All_PCC_a[[#This Row],[W (mm)]],1)</f>
        <v>107</v>
      </c>
      <c r="AF63" s="61" t="str">
        <f>All_PCC_a[[#This Row],[L (mm)]]&amp;"  x  "&amp;All_PCC_a[[#This Row],[W (mm)]]</f>
        <v>10,7  x  10</v>
      </c>
      <c r="AG63" s="74" t="s">
        <v>121</v>
      </c>
      <c r="AH63" s="61" t="str">
        <f>IF(All_PCC_a[[#This Row],[Max Height (mm)]]&lt;=9,"≤ "&amp;ROUNDUP(AD63,0),"≤"&amp;ROUNDUP(AD63,0))</f>
        <v>≤ 5</v>
      </c>
      <c r="AI63" s="75">
        <v>-40</v>
      </c>
      <c r="AJ63" s="75">
        <v>150</v>
      </c>
      <c r="AK63" s="1" t="str">
        <f>All_PCC_a[[#This Row],[Min Temp (deg.C)]]&amp;" to +"&amp;All_PCC_a[[#This Row],[Max Temp (deg.C)]]</f>
        <v>-40 to +150</v>
      </c>
      <c r="AL63" s="75"/>
      <c r="AM63" s="75"/>
      <c r="AN63" s="75"/>
      <c r="AO63" s="80" t="s">
        <v>122</v>
      </c>
      <c r="AP63" s="92" t="str">
        <f t="shared" si="7"/>
        <v>-</v>
      </c>
      <c r="AQ63" s="80" t="s">
        <v>122</v>
      </c>
      <c r="AR63" s="80" t="s">
        <v>122</v>
      </c>
      <c r="AS63" s="75" t="s">
        <v>290</v>
      </c>
      <c r="AT63" s="1" t="s">
        <v>124</v>
      </c>
      <c r="AU63" s="1" t="e" vm="1">
        <f ca="1">_xlfn.IMAGE(All_PCC_a[[#This Row],[Image URL]])</f>
        <v>#NAME?</v>
      </c>
      <c r="AV63" s="75"/>
      <c r="AW63" s="75"/>
      <c r="AY63" s="1"/>
      <c r="BC63" s="1">
        <f>IF(Z63&lt;('[1]DCDC Ref'!$J$24/'[1]DCDC Ref'!$J$26)*'[1]DCDC Ref'!$J$28/100,0,1)</f>
        <v>1</v>
      </c>
      <c r="BD63" s="66">
        <f>IF(BC63=1000000000,"",('All Data'!Q63-'[1]DCDC Ref'!$J$30)/'[1]DCDC Ref'!$J$30*100)</f>
        <v>422.1978021978021</v>
      </c>
      <c r="BE63" s="67">
        <f t="shared" si="3"/>
        <v>422.1978021978021</v>
      </c>
      <c r="BF63" s="67"/>
      <c r="BG63" s="66"/>
      <c r="BH63" s="68">
        <f t="shared" si="0"/>
        <v>0</v>
      </c>
      <c r="BI63" s="67"/>
      <c r="BJ63" s="1">
        <f>IF(BC63=0,"",('All Data'!Z63-'[1]DCDC Ref'!$J$28*('[1]DCDC Ref'!$J$29/100))/'[1]DCDC Ref'!$J$28*('[1]DCDC Ref'!$J$29/100)*100)</f>
        <v>109.79310344827582</v>
      </c>
      <c r="BK63" s="68">
        <f t="shared" si="1"/>
        <v>109.79310344827582</v>
      </c>
      <c r="BL63" s="68"/>
      <c r="BM63" s="68"/>
      <c r="BN63" s="68"/>
      <c r="BO63" s="68"/>
      <c r="BQ63" s="5">
        <f t="shared" si="4"/>
        <v>2111537.9765062518</v>
      </c>
      <c r="BR63" s="5">
        <f>IF(BQ63="","",RANK(BQ63,BQ$11:BQ$9930,1)+COUNTIF(BQ$11:BQ63,BQ63)-1)</f>
        <v>66</v>
      </c>
      <c r="BS63" s="69">
        <f t="shared" si="2"/>
        <v>66</v>
      </c>
      <c r="BT63" s="1" t="str">
        <f>IFERROR(INDEX($O$11:$O$1013,MATCH(ROWS($BS$11:BS63),$BS$11:$BS$1005,0)),"")</f>
        <v>ETQP5M2R5YFC</v>
      </c>
      <c r="BU63" s="69" t="str">
        <f t="shared" si="5"/>
        <v>ETQP5M2R5YFC</v>
      </c>
    </row>
    <row r="64" spans="1:73">
      <c r="A64" s="1">
        <v>11</v>
      </c>
      <c r="B64" s="28" t="s">
        <v>109</v>
      </c>
      <c r="D64" s="1" t="s">
        <v>110</v>
      </c>
      <c r="E64" s="58"/>
      <c r="F64" s="1" t="s">
        <v>111</v>
      </c>
      <c r="G64" s="2" t="s">
        <v>112</v>
      </c>
      <c r="H64" s="1" t="s">
        <v>113</v>
      </c>
      <c r="I64" s="2" t="s">
        <v>114</v>
      </c>
      <c r="J64" s="1" t="s">
        <v>115</v>
      </c>
      <c r="K64" s="1" t="s">
        <v>116</v>
      </c>
      <c r="L64" s="1" t="s">
        <v>291</v>
      </c>
      <c r="M64" s="1" t="s">
        <v>292</v>
      </c>
      <c r="N64" s="1" t="s">
        <v>154</v>
      </c>
      <c r="O64" s="59" t="s">
        <v>293</v>
      </c>
      <c r="P64" s="60" t="str">
        <f>MID(All_PCC_a[[#This Row],[Part Number]],7,3)</f>
        <v>4R7</v>
      </c>
      <c r="Q64" s="85">
        <v>4.7</v>
      </c>
      <c r="R64" s="61" t="str">
        <f>IF(All_PCC_a[[#This Row],[Lo (uH)]]&lt;1,"&lt;1",IF(All_PCC_a[[#This Row],[Lo (uH)]]&lt;10,"&lt;10",IF(All_PCC_a[[#This Row],[Lo (uH)]]&lt;100,"&lt;100",IF(All_PCC_a[[#This Row],[Lo (uH)]]&lt;2000,"&lt;2000",""))))</f>
        <v>&lt;10</v>
      </c>
      <c r="S64" s="61" t="str">
        <f>IFERROR(VLOOKUP(All_PCC_a[[#This Row],[Lo (uH)]],[1]Utility!$D$5:$E$43,2,1),"-")</f>
        <v>≤   5</v>
      </c>
      <c r="T64" s="62">
        <v>0.2</v>
      </c>
      <c r="U64" s="70">
        <v>36</v>
      </c>
      <c r="V64" s="70">
        <v>39.6</v>
      </c>
      <c r="W64" s="61">
        <v>10</v>
      </c>
      <c r="X64" s="61">
        <v>4.8</v>
      </c>
      <c r="Y64" s="61">
        <v>4</v>
      </c>
      <c r="Z64" s="64">
        <v>7.7</v>
      </c>
      <c r="AA64" s="61">
        <v>5.6</v>
      </c>
      <c r="AB64" s="1">
        <v>5.5</v>
      </c>
      <c r="AC64" s="1">
        <v>5</v>
      </c>
      <c r="AD64" s="61">
        <v>4</v>
      </c>
      <c r="AE64" s="1">
        <f>ROUND(All_PCC_a[[#This Row],[L (mm)]]*All_PCC_a[[#This Row],[W (mm)]],1)</f>
        <v>27.5</v>
      </c>
      <c r="AF64" s="61" t="str">
        <f>All_PCC_a[[#This Row],[L (mm)]]&amp;"  x  "&amp;All_PCC_a[[#This Row],[W (mm)]]</f>
        <v>5,5  x  5</v>
      </c>
      <c r="AG64" s="65" t="s">
        <v>138</v>
      </c>
      <c r="AH64" s="61" t="str">
        <f>IF(All_PCC_a[[#This Row],[Max Height (mm)]]&lt;=9,"≤ "&amp;ROUNDUP(AD64,0),"≤"&amp;ROUNDUP(AD64,0))</f>
        <v>≤ 4</v>
      </c>
      <c r="AI64" s="11">
        <v>-40</v>
      </c>
      <c r="AJ64" s="11">
        <v>150</v>
      </c>
      <c r="AK64" s="1" t="str">
        <f>All_PCC_a[[#This Row],[Min Temp (deg.C)]]&amp;" to +"&amp;All_PCC_a[[#This Row],[Max Temp (deg.C)]]</f>
        <v>-40 to +150</v>
      </c>
      <c r="AL64" s="1"/>
      <c r="AO64" s="61" t="s">
        <v>144</v>
      </c>
      <c r="AP64" s="61" t="str">
        <f t="shared" si="7"/>
        <v>-</v>
      </c>
      <c r="AQ64" s="62" t="s">
        <v>122</v>
      </c>
      <c r="AR64" s="61" t="s">
        <v>122</v>
      </c>
      <c r="AS64" s="1" t="s">
        <v>294</v>
      </c>
      <c r="AT64" s="1" t="s">
        <v>124</v>
      </c>
      <c r="AU64" s="1" t="e" vm="1">
        <f ca="1">_xlfn.IMAGE(All_PCC_a[[#This Row],[Image URL]])</f>
        <v>#NAME?</v>
      </c>
      <c r="AW64" s="1"/>
      <c r="AY64" s="1"/>
      <c r="BC64" s="1">
        <f>IF(Z64&lt;('[1]DCDC Ref'!$J$24/'[1]DCDC Ref'!$J$26)*'[1]DCDC Ref'!$J$28/100,0,1)</f>
        <v>1</v>
      </c>
      <c r="BD64" s="66">
        <f>IF(BC64=1000000000,"",('All Data'!Q64-'[1]DCDC Ref'!$J$30)/'[1]DCDC Ref'!$J$30*100)</f>
        <v>643.73626373626371</v>
      </c>
      <c r="BE64" s="67">
        <f t="shared" si="3"/>
        <v>643.73626373626371</v>
      </c>
      <c r="BF64" s="67"/>
      <c r="BG64" s="66"/>
      <c r="BH64" s="68">
        <f t="shared" si="0"/>
        <v>0</v>
      </c>
      <c r="BI64" s="67"/>
      <c r="BJ64" s="1">
        <f>IF(BC64=0,"",('All Data'!Z64-'[1]DCDC Ref'!$J$28*('[1]DCDC Ref'!$J$29/100))/'[1]DCDC Ref'!$J$28*('[1]DCDC Ref'!$J$29/100)*100)</f>
        <v>-30.965517241379313</v>
      </c>
      <c r="BK64" s="68">
        <f t="shared" si="1"/>
        <v>10000</v>
      </c>
      <c r="BL64" s="68"/>
      <c r="BM64" s="68"/>
      <c r="BN64" s="68"/>
      <c r="BO64" s="68"/>
      <c r="BQ64" s="5">
        <f t="shared" si="4"/>
        <v>3268681.3186813183</v>
      </c>
      <c r="BR64" s="5">
        <f>IF(BQ64="","",RANK(BQ64,BQ$11:BQ$9930,1)+COUNTIF(BQ$11:BQ64,BQ64)-1)</f>
        <v>79</v>
      </c>
      <c r="BS64" s="69">
        <f t="shared" si="2"/>
        <v>79</v>
      </c>
      <c r="BT64" s="1" t="str">
        <f>IFERROR(INDEX($O$11:$O$1013,MATCH(ROWS($BS$11:BS64),$BS$11:$BS$1005,0)),"")</f>
        <v>ETQP5M2R5YTC</v>
      </c>
      <c r="BU64" s="69" t="str">
        <f t="shared" si="5"/>
        <v>ETQP5M2R5YTC</v>
      </c>
    </row>
    <row r="65" spans="1:73" ht="15">
      <c r="A65" s="1">
        <v>16</v>
      </c>
      <c r="B65" s="28" t="s">
        <v>109</v>
      </c>
      <c r="D65" s="1" t="s">
        <v>110</v>
      </c>
      <c r="E65" s="58"/>
      <c r="F65" s="1" t="s">
        <v>111</v>
      </c>
      <c r="G65" s="2" t="s">
        <v>112</v>
      </c>
      <c r="H65" s="1" t="s">
        <v>113</v>
      </c>
      <c r="I65" s="2" t="s">
        <v>114</v>
      </c>
      <c r="J65" s="1" t="s">
        <v>115</v>
      </c>
      <c r="K65" s="1" t="s">
        <v>116</v>
      </c>
      <c r="L65" s="1" t="s">
        <v>195</v>
      </c>
      <c r="M65" s="1" t="s">
        <v>196</v>
      </c>
      <c r="N65" s="1" t="s">
        <v>154</v>
      </c>
      <c r="O65" s="59" t="s">
        <v>295</v>
      </c>
      <c r="P65" s="60" t="str">
        <f>MID(All_PCC_a[[#This Row],[Part Number]],7,3)</f>
        <v>4R7</v>
      </c>
      <c r="Q65" s="61">
        <v>4.7</v>
      </c>
      <c r="R65" s="61" t="str">
        <f>IF(All_PCC_a[[#This Row],[Lo (uH)]]&lt;1,"&lt;1",IF(All_PCC_a[[#This Row],[Lo (uH)]]&lt;10,"&lt;10",IF(All_PCC_a[[#This Row],[Lo (uH)]]&lt;100,"&lt;100",IF(All_PCC_a[[#This Row],[Lo (uH)]]&lt;2000,"&lt;2000",""))))</f>
        <v>&lt;10</v>
      </c>
      <c r="S65" s="61" t="str">
        <f>IFERROR(VLOOKUP(All_PCC_a[[#This Row],[Lo (uH)]],[1]Utility!$D$5:$E$43,2,1),"-")</f>
        <v>≤   5</v>
      </c>
      <c r="T65" s="62">
        <v>0.2</v>
      </c>
      <c r="U65" s="63">
        <v>10.199999999999999</v>
      </c>
      <c r="V65" s="95">
        <v>11.3</v>
      </c>
      <c r="W65" s="61">
        <v>10</v>
      </c>
      <c r="X65" s="61">
        <v>13.1</v>
      </c>
      <c r="Y65" s="61">
        <v>10.9</v>
      </c>
      <c r="Z65" s="64">
        <v>20</v>
      </c>
      <c r="AA65" s="61">
        <v>14.75</v>
      </c>
      <c r="AB65" s="1">
        <v>10.7</v>
      </c>
      <c r="AC65" s="1">
        <v>10</v>
      </c>
      <c r="AD65" s="61">
        <v>5.4</v>
      </c>
      <c r="AE65" s="1">
        <f>ROUND(All_PCC_a[[#This Row],[L (mm)]]*All_PCC_a[[#This Row],[W (mm)]],1)</f>
        <v>107</v>
      </c>
      <c r="AF65" s="61" t="str">
        <f>All_PCC_a[[#This Row],[L (mm)]]&amp;"  x  "&amp;All_PCC_a[[#This Row],[W (mm)]]</f>
        <v>10,7  x  10</v>
      </c>
      <c r="AG65" s="76" t="s">
        <v>121</v>
      </c>
      <c r="AH65" s="61" t="str">
        <f>IF(All_PCC_a[[#This Row],[Max Height (mm)]]&lt;=9,"≤ "&amp;ROUNDUP(AD65,0),"≤"&amp;ROUNDUP(AD65,0))</f>
        <v>≤ 6</v>
      </c>
      <c r="AI65" s="11">
        <v>-40</v>
      </c>
      <c r="AJ65" s="11">
        <v>150</v>
      </c>
      <c r="AK65" s="1" t="str">
        <f>All_PCC_a[[#This Row],[Min Temp (deg.C)]]&amp;" to +"&amp;All_PCC_a[[#This Row],[Max Temp (deg.C)]]</f>
        <v>-40 to +150</v>
      </c>
      <c r="AL65" s="1"/>
      <c r="AO65" s="61" t="s">
        <v>144</v>
      </c>
      <c r="AP65" s="61" t="str">
        <f t="shared" si="7"/>
        <v>-</v>
      </c>
      <c r="AQ65" s="61" t="s">
        <v>122</v>
      </c>
      <c r="AR65" s="61" t="s">
        <v>122</v>
      </c>
      <c r="AS65" s="1" t="s">
        <v>296</v>
      </c>
      <c r="AT65" s="1" t="s">
        <v>124</v>
      </c>
      <c r="AU65" s="1" t="e" vm="1">
        <f ca="1">_xlfn.IMAGE(All_PCC_a[[#This Row],[Image URL]])</f>
        <v>#NAME?</v>
      </c>
      <c r="AW65" s="1"/>
      <c r="AY65" s="1"/>
      <c r="BC65" s="1">
        <f>IF(Z65&lt;('[1]DCDC Ref'!$J$24/'[1]DCDC Ref'!$J$26)*'[1]DCDC Ref'!$J$28/100,0,1)</f>
        <v>1</v>
      </c>
      <c r="BD65" s="66">
        <f>IF(BC65=1000000000,"",('All Data'!Q65-'[1]DCDC Ref'!$J$30)/'[1]DCDC Ref'!$J$30*100)</f>
        <v>643.73626373626371</v>
      </c>
      <c r="BE65" s="67">
        <f t="shared" si="3"/>
        <v>643.73626373626371</v>
      </c>
      <c r="BF65" s="67"/>
      <c r="BG65" s="66"/>
      <c r="BH65" s="68">
        <f t="shared" si="0"/>
        <v>0</v>
      </c>
      <c r="BI65" s="67"/>
      <c r="BJ65" s="1">
        <f>IF(BC65=0,"",('All Data'!Z65-'[1]DCDC Ref'!$J$28*('[1]DCDC Ref'!$J$29/100))/'[1]DCDC Ref'!$J$28*('[1]DCDC Ref'!$J$29/100)*100)</f>
        <v>79.310344827586192</v>
      </c>
      <c r="BK65" s="68">
        <f t="shared" si="1"/>
        <v>79.310344827586192</v>
      </c>
      <c r="BL65" s="68"/>
      <c r="BM65" s="68"/>
      <c r="BN65" s="68"/>
      <c r="BO65" s="68"/>
      <c r="BQ65" s="5">
        <f t="shared" si="4"/>
        <v>3219077.8704054561</v>
      </c>
      <c r="BR65" s="5">
        <f>IF(BQ65="","",RANK(BQ65,BQ$11:BQ$9930,1)+COUNTIF(BQ$11:BQ65,BQ65)-1)</f>
        <v>75</v>
      </c>
      <c r="BS65" s="69">
        <f t="shared" si="2"/>
        <v>75</v>
      </c>
      <c r="BT65" s="1" t="str">
        <f>IFERROR(INDEX($O$11:$O$1013,MATCH(ROWS($BS$11:BS65),$BS$11:$BS$1005,0)),"")</f>
        <v>ETQP8M2R5JFA</v>
      </c>
      <c r="BU65" s="69" t="str">
        <f t="shared" si="5"/>
        <v>ETQP8M2R5JFA</v>
      </c>
    </row>
    <row r="66" spans="1:73" ht="15">
      <c r="A66" s="1">
        <v>30</v>
      </c>
      <c r="B66" s="28" t="s">
        <v>109</v>
      </c>
      <c r="D66" s="1" t="s">
        <v>110</v>
      </c>
      <c r="E66" s="58"/>
      <c r="F66" s="1" t="s">
        <v>111</v>
      </c>
      <c r="G66" s="2" t="s">
        <v>112</v>
      </c>
      <c r="H66" s="1" t="s">
        <v>113</v>
      </c>
      <c r="I66" s="2" t="s">
        <v>114</v>
      </c>
      <c r="J66" s="1" t="s">
        <v>115</v>
      </c>
      <c r="K66" s="1" t="s">
        <v>116</v>
      </c>
      <c r="L66" s="1" t="s">
        <v>279</v>
      </c>
      <c r="M66" s="1" t="s">
        <v>297</v>
      </c>
      <c r="N66" s="1" t="s">
        <v>154</v>
      </c>
      <c r="O66" s="96" t="s">
        <v>298</v>
      </c>
      <c r="P66" s="60" t="str">
        <f>MID(All_PCC_a[[#This Row],[Part Number]],7,3)</f>
        <v>4R7</v>
      </c>
      <c r="Q66" s="61">
        <v>4.7</v>
      </c>
      <c r="R66" s="61" t="str">
        <f>IF(All_PCC_a[[#This Row],[Lo (uH)]]&lt;1,"&lt;1",IF(All_PCC_a[[#This Row],[Lo (uH)]]&lt;10,"&lt;10",IF(All_PCC_a[[#This Row],[Lo (uH)]]&lt;100,"&lt;100",IF(All_PCC_a[[#This Row],[Lo (uH)]]&lt;2000,"&lt;2000",""))))</f>
        <v>&lt;10</v>
      </c>
      <c r="S66" s="61" t="str">
        <f>IFERROR(VLOOKUP(All_PCC_a[[#This Row],[Lo (uH)]],[1]Utility!$D$5:$E$43,2,1),"-")</f>
        <v>≤   5</v>
      </c>
      <c r="T66" s="62">
        <v>0.2</v>
      </c>
      <c r="U66" s="95">
        <v>20.399999999999999</v>
      </c>
      <c r="V66" s="95">
        <v>22.5</v>
      </c>
      <c r="W66" s="61">
        <v>10</v>
      </c>
      <c r="X66" s="61">
        <v>8</v>
      </c>
      <c r="Y66" s="85">
        <v>6.3</v>
      </c>
      <c r="Z66" s="97">
        <v>13.1</v>
      </c>
      <c r="AA66" s="61">
        <v>9.4499999999999993</v>
      </c>
      <c r="AB66" s="1">
        <v>7.5</v>
      </c>
      <c r="AC66" s="1">
        <v>7</v>
      </c>
      <c r="AD66" s="61">
        <v>5.4</v>
      </c>
      <c r="AE66" s="1">
        <f>ROUND(All_PCC_a[[#This Row],[L (mm)]]*All_PCC_a[[#This Row],[W (mm)]],1)</f>
        <v>52.5</v>
      </c>
      <c r="AF66" s="61" t="str">
        <f>All_PCC_a[[#This Row],[L (mm)]]&amp;"  x  "&amp;All_PCC_a[[#This Row],[W (mm)]]</f>
        <v>7,5  x  7</v>
      </c>
      <c r="AG66" s="98" t="s">
        <v>282</v>
      </c>
      <c r="AH66" s="61" t="str">
        <f>IF(All_PCC_a[[#This Row],[Max Height (mm)]]&lt;=9,"≤ "&amp;ROUNDUP(AD66,0),"≤"&amp;ROUNDUP(AD66,0))</f>
        <v>≤ 6</v>
      </c>
      <c r="AI66" s="11">
        <v>-40</v>
      </c>
      <c r="AJ66" s="11">
        <v>150</v>
      </c>
      <c r="AK66" s="1" t="str">
        <f>All_PCC_a[[#This Row],[Min Temp (deg.C)]]&amp;" to +"&amp;All_PCC_a[[#This Row],[Max Temp (deg.C)]]</f>
        <v>-40 to +150</v>
      </c>
      <c r="AL66" s="1"/>
      <c r="AO66" s="61" t="s">
        <v>144</v>
      </c>
      <c r="AP66" s="61" t="str">
        <f t="shared" si="7"/>
        <v>-</v>
      </c>
      <c r="AQ66" s="61" t="s">
        <v>122</v>
      </c>
      <c r="AR66" s="61" t="s">
        <v>122</v>
      </c>
      <c r="AS66" s="1" t="s">
        <v>299</v>
      </c>
      <c r="AT66" s="1" t="s">
        <v>124</v>
      </c>
      <c r="AU66" s="1" t="e" vm="1">
        <f ca="1">_xlfn.IMAGE(All_PCC_a[[#This Row],[Image URL]])</f>
        <v>#NAME?</v>
      </c>
      <c r="AW66" s="1"/>
      <c r="AY66" s="1"/>
      <c r="BC66" s="1">
        <f>IF(Z66&lt;('[1]DCDC Ref'!$J$24/'[1]DCDC Ref'!$J$26)*'[1]DCDC Ref'!$J$28/100,0,1)</f>
        <v>1</v>
      </c>
      <c r="BD66" s="66">
        <f>IF(BC66=1000000000,"",('All Data'!Q66-'[1]DCDC Ref'!$J$30)/'[1]DCDC Ref'!$J$30*100)</f>
        <v>643.73626373626371</v>
      </c>
      <c r="BE66" s="67">
        <f t="shared" si="3"/>
        <v>643.73626373626371</v>
      </c>
      <c r="BF66" s="67"/>
      <c r="BG66" s="66"/>
      <c r="BH66" s="68">
        <f t="shared" si="0"/>
        <v>0</v>
      </c>
      <c r="BI66" s="67"/>
      <c r="BJ66" s="1">
        <f>IF(BC66=0,"",('All Data'!Z66-'[1]DCDC Ref'!$J$28*('[1]DCDC Ref'!$J$29/100))/'[1]DCDC Ref'!$J$28*('[1]DCDC Ref'!$J$29/100)*100)</f>
        <v>17.44827586206895</v>
      </c>
      <c r="BK66" s="68">
        <f t="shared" si="1"/>
        <v>17.44827586206895</v>
      </c>
      <c r="BL66" s="68"/>
      <c r="BM66" s="68"/>
      <c r="BN66" s="68"/>
      <c r="BO66" s="68"/>
      <c r="BQ66" s="5">
        <f t="shared" si="4"/>
        <v>3218768.5600606287</v>
      </c>
      <c r="BR66" s="5">
        <f>IF(BQ66="","",RANK(BQ66,BQ$11:BQ$9930,1)+COUNTIF(BQ$11:BQ66,BQ66)-1)</f>
        <v>72</v>
      </c>
      <c r="BS66" s="69">
        <f t="shared" si="2"/>
        <v>72</v>
      </c>
      <c r="BT66" s="1" t="str">
        <f>IFERROR(INDEX($O$11:$O$1013,MATCH(ROWS($BS$11:BS66),$BS$11:$BS$1005,0)),"")</f>
        <v>ETQPAM2R5JFW</v>
      </c>
      <c r="BU66" s="69" t="str">
        <f t="shared" si="5"/>
        <v>ETQPAM2R5JFW</v>
      </c>
    </row>
    <row r="67" spans="1:73" ht="15">
      <c r="A67" s="1">
        <v>44</v>
      </c>
      <c r="B67" s="28" t="s">
        <v>109</v>
      </c>
      <c r="D67" s="1" t="s">
        <v>110</v>
      </c>
      <c r="E67" s="58"/>
      <c r="F67" s="1" t="s">
        <v>111</v>
      </c>
      <c r="G67" s="2" t="s">
        <v>112</v>
      </c>
      <c r="H67" s="1" t="s">
        <v>113</v>
      </c>
      <c r="I67" s="2" t="s">
        <v>114</v>
      </c>
      <c r="J67" s="1" t="s">
        <v>115</v>
      </c>
      <c r="K67" s="1" t="s">
        <v>116</v>
      </c>
      <c r="L67" s="1" t="s">
        <v>199</v>
      </c>
      <c r="M67" s="1" t="s">
        <v>200</v>
      </c>
      <c r="N67" s="1" t="s">
        <v>119</v>
      </c>
      <c r="O67" s="59" t="s">
        <v>300</v>
      </c>
      <c r="P67" s="60" t="str">
        <f>MID(All_PCC_a[[#This Row],[Part Number]],7,3)</f>
        <v>4R7</v>
      </c>
      <c r="Q67" s="61">
        <v>4.7</v>
      </c>
      <c r="R67" s="61" t="str">
        <f>IF(All_PCC_a[[#This Row],[Lo (uH)]]&lt;1,"&lt;1",IF(All_PCC_a[[#This Row],[Lo (uH)]]&lt;10,"&lt;10",IF(All_PCC_a[[#This Row],[Lo (uH)]]&lt;100,"&lt;100",IF(All_PCC_a[[#This Row],[Lo (uH)]]&lt;2000,"&lt;2000",""))))</f>
        <v>&lt;10</v>
      </c>
      <c r="S67" s="61" t="str">
        <f>IFERROR(VLOOKUP(All_PCC_a[[#This Row],[Lo (uH)]],[1]Utility!$D$5:$E$43,2,1),"-")</f>
        <v>≤   5</v>
      </c>
      <c r="T67" s="62">
        <v>0.2</v>
      </c>
      <c r="U67" s="63">
        <v>8.6999999999999993</v>
      </c>
      <c r="V67" s="63">
        <v>9.57</v>
      </c>
      <c r="W67" s="61">
        <v>10</v>
      </c>
      <c r="X67" s="61">
        <v>14.1</v>
      </c>
      <c r="Y67" s="61">
        <v>11.8</v>
      </c>
      <c r="Z67" s="64">
        <v>22.5</v>
      </c>
      <c r="AA67" s="61">
        <v>15.17</v>
      </c>
      <c r="AB67" s="1">
        <v>10.9</v>
      </c>
      <c r="AC67" s="1">
        <v>10</v>
      </c>
      <c r="AD67" s="61">
        <v>6</v>
      </c>
      <c r="AE67" s="1">
        <f>ROUND(All_PCC_a[[#This Row],[L (mm)]]*All_PCC_a[[#This Row],[W (mm)]],1)</f>
        <v>109</v>
      </c>
      <c r="AF67" s="61" t="str">
        <f>All_PCC_a[[#This Row],[L (mm)]]&amp;"  x  "&amp;All_PCC_a[[#This Row],[W (mm)]]</f>
        <v>10,9  x  10</v>
      </c>
      <c r="AG67" s="65" t="s">
        <v>121</v>
      </c>
      <c r="AH67" s="61" t="str">
        <f>IF(All_PCC_a[[#This Row],[Max Height (mm)]]&lt;=9,"≤ "&amp;ROUNDUP(AD67,0),"≤"&amp;ROUNDUP(AD67,0))</f>
        <v>≤ 6</v>
      </c>
      <c r="AI67" s="1">
        <v>-40</v>
      </c>
      <c r="AJ67" s="1">
        <v>150</v>
      </c>
      <c r="AK67" s="1" t="str">
        <f>All_PCC_a[[#This Row],[Min Temp (deg.C)]]&amp;" to +"&amp;All_PCC_a[[#This Row],[Max Temp (deg.C)]]</f>
        <v>-40 to +150</v>
      </c>
      <c r="AL67" s="1"/>
      <c r="AO67" s="61" t="s">
        <v>122</v>
      </c>
      <c r="AP67" s="61" t="str">
        <f t="shared" si="7"/>
        <v>-</v>
      </c>
      <c r="AQ67" s="61" t="s">
        <v>122</v>
      </c>
      <c r="AR67" s="61" t="s">
        <v>122</v>
      </c>
      <c r="AS67" s="1" t="s">
        <v>301</v>
      </c>
      <c r="AT67" s="1" t="s">
        <v>124</v>
      </c>
      <c r="AU67" s="1" t="e" vm="1">
        <f ca="1">_xlfn.IMAGE(All_PCC_a[[#This Row],[Image URL]])</f>
        <v>#NAME?</v>
      </c>
      <c r="AW67" s="1"/>
      <c r="AY67" s="1"/>
      <c r="BC67" s="1">
        <f>IF(Z67&lt;('[1]DCDC Ref'!$J$24/'[1]DCDC Ref'!$J$26)*'[1]DCDC Ref'!$J$28/100,0,1)</f>
        <v>1</v>
      </c>
      <c r="BD67" s="66">
        <f>IF(BC67=1000000000,"",('All Data'!Q67-'[1]DCDC Ref'!$J$30)/'[1]DCDC Ref'!$J$30*100)</f>
        <v>643.73626373626371</v>
      </c>
      <c r="BE67" s="67">
        <f t="shared" si="3"/>
        <v>643.73626373626371</v>
      </c>
      <c r="BF67" s="67"/>
      <c r="BG67" s="66"/>
      <c r="BH67" s="68">
        <f t="shared" si="0"/>
        <v>0</v>
      </c>
      <c r="BI67" s="67"/>
      <c r="BJ67" s="1">
        <f>IF(BC67=0,"",('All Data'!Z67-'[1]DCDC Ref'!$J$28*('[1]DCDC Ref'!$J$29/100))/'[1]DCDC Ref'!$J$28*('[1]DCDC Ref'!$J$29/100)*100)</f>
        <v>101.72413793103445</v>
      </c>
      <c r="BK67" s="68">
        <f t="shared" si="1"/>
        <v>101.72413793103445</v>
      </c>
      <c r="BL67" s="68"/>
      <c r="BM67" s="68"/>
      <c r="BN67" s="68"/>
      <c r="BO67" s="68"/>
      <c r="BQ67" s="5">
        <f t="shared" si="4"/>
        <v>3219189.9393709735</v>
      </c>
      <c r="BR67" s="5">
        <f>IF(BQ67="","",RANK(BQ67,BQ$11:BQ$9930,1)+COUNTIF(BQ$11:BQ67,BQ67)-1)</f>
        <v>76</v>
      </c>
      <c r="BS67" s="69">
        <f t="shared" si="2"/>
        <v>76</v>
      </c>
      <c r="BT67" s="1" t="str">
        <f>IFERROR(INDEX($O$11:$O$1013,MATCH(ROWS($BS$11:BS67),$BS$11:$BS$1005,0)),"")</f>
        <v>ETQP3M3R3KVN</v>
      </c>
      <c r="BU67" s="69" t="str">
        <f t="shared" si="5"/>
        <v>ETQP3M3R3KVN</v>
      </c>
    </row>
    <row r="68" spans="1:73" ht="15">
      <c r="A68" s="1">
        <v>51</v>
      </c>
      <c r="B68" s="28" t="s">
        <v>109</v>
      </c>
      <c r="D68" s="1" t="s">
        <v>110</v>
      </c>
      <c r="E68" s="58"/>
      <c r="F68" s="1" t="s">
        <v>111</v>
      </c>
      <c r="G68" s="2" t="s">
        <v>112</v>
      </c>
      <c r="H68" s="1" t="s">
        <v>113</v>
      </c>
      <c r="I68" s="2" t="s">
        <v>114</v>
      </c>
      <c r="J68" s="1" t="s">
        <v>115</v>
      </c>
      <c r="K68" s="1" t="s">
        <v>126</v>
      </c>
      <c r="L68" s="1" t="s">
        <v>127</v>
      </c>
      <c r="M68" s="1" t="s">
        <v>128</v>
      </c>
      <c r="N68" s="1" t="s">
        <v>119</v>
      </c>
      <c r="O68" s="59" t="s">
        <v>302</v>
      </c>
      <c r="P68" s="60" t="str">
        <f>MID(All_PCC_a[[#This Row],[Part Number]],7,3)</f>
        <v>4R7</v>
      </c>
      <c r="Q68" s="61">
        <v>4.7</v>
      </c>
      <c r="R68" s="61" t="str">
        <f>IF(All_PCC_a[[#This Row],[Lo (uH)]]&lt;1,"&lt;1",IF(All_PCC_a[[#This Row],[Lo (uH)]]&lt;10,"&lt;10",IF(All_PCC_a[[#This Row],[Lo (uH)]]&lt;100,"&lt;100",IF(All_PCC_a[[#This Row],[Lo (uH)]]&lt;2000,"&lt;2000",""))))</f>
        <v>&lt;10</v>
      </c>
      <c r="S68" s="61" t="str">
        <f>IFERROR(VLOOKUP(All_PCC_a[[#This Row],[Lo (uH)]],[1]Utility!$D$5:$E$43,2,1),"-")</f>
        <v>≤   5</v>
      </c>
      <c r="T68" s="62">
        <v>0.2</v>
      </c>
      <c r="U68" s="63">
        <v>4.9000000000000004</v>
      </c>
      <c r="V68" s="63">
        <v>5.39</v>
      </c>
      <c r="W68" s="61">
        <v>10</v>
      </c>
      <c r="X68" s="61">
        <v>20.2</v>
      </c>
      <c r="Y68" s="61">
        <v>16.8</v>
      </c>
      <c r="Z68" s="64">
        <v>24.7</v>
      </c>
      <c r="AA68" s="61">
        <f>ROUND(17.6035242290749,2)</f>
        <v>17.600000000000001</v>
      </c>
      <c r="AB68" s="1">
        <v>12.6</v>
      </c>
      <c r="AC68" s="1">
        <v>13.1</v>
      </c>
      <c r="AD68" s="61">
        <v>8</v>
      </c>
      <c r="AE68" s="1">
        <f>ROUND(All_PCC_a[[#This Row],[L (mm)]]*All_PCC_a[[#This Row],[W (mm)]],1)</f>
        <v>165.1</v>
      </c>
      <c r="AF68" s="61" t="str">
        <f>All_PCC_a[[#This Row],[L (mm)]]&amp;"  x  "&amp;All_PCC_a[[#This Row],[W (mm)]]</f>
        <v>12,6  x  13,1</v>
      </c>
      <c r="AG68" s="65" t="s">
        <v>130</v>
      </c>
      <c r="AH68" s="61" t="str">
        <f>IF(All_PCC_a[[#This Row],[Max Height (mm)]]&lt;=9,"≤ "&amp;ROUNDUP(AD68,0),"≤"&amp;ROUNDUP(AD68,0))</f>
        <v>≤ 8</v>
      </c>
      <c r="AI68" s="1">
        <v>-40</v>
      </c>
      <c r="AJ68" s="1">
        <v>160</v>
      </c>
      <c r="AK68" s="1" t="str">
        <f>All_PCC_a[[#This Row],[Min Temp (deg.C)]]&amp;" to +"&amp;All_PCC_a[[#This Row],[Max Temp (deg.C)]]</f>
        <v>-40 to +160</v>
      </c>
      <c r="AL68" s="1"/>
      <c r="AN68" s="1" t="s">
        <v>131</v>
      </c>
      <c r="AO68" s="61" t="s">
        <v>122</v>
      </c>
      <c r="AP68" s="61" t="str">
        <f t="shared" si="7"/>
        <v>-</v>
      </c>
      <c r="AQ68" s="61" t="s">
        <v>122</v>
      </c>
      <c r="AR68" s="61" t="s">
        <v>122</v>
      </c>
      <c r="AS68" s="1" t="s">
        <v>303</v>
      </c>
      <c r="AT68" s="1" t="s">
        <v>133</v>
      </c>
      <c r="AU68" s="1" t="e" vm="1">
        <f ca="1">_xlfn.IMAGE(All_PCC_a[[#This Row],[Image URL]])</f>
        <v>#NAME?</v>
      </c>
      <c r="AW68" s="1"/>
      <c r="AY68" s="1"/>
      <c r="BC68" s="1">
        <f>IF(Z68&lt;('[1]DCDC Ref'!$J$24/'[1]DCDC Ref'!$J$26)*'[1]DCDC Ref'!$J$28/100,0,1)</f>
        <v>1</v>
      </c>
      <c r="BD68" s="66">
        <f>IF(BC68=1000000000,"",('All Data'!Q68-'[1]DCDC Ref'!$J$30)/'[1]DCDC Ref'!$J$30*100)</f>
        <v>643.73626373626371</v>
      </c>
      <c r="BE68" s="67">
        <f t="shared" si="3"/>
        <v>643.73626373626371</v>
      </c>
      <c r="BF68" s="67"/>
      <c r="BG68" s="66"/>
      <c r="BH68" s="68">
        <f t="shared" si="0"/>
        <v>0</v>
      </c>
      <c r="BI68" s="67"/>
      <c r="BJ68" s="1">
        <f>IF(BC68=0,"",('All Data'!Z68-'[1]DCDC Ref'!$J$28*('[1]DCDC Ref'!$J$29/100))/'[1]DCDC Ref'!$J$28*('[1]DCDC Ref'!$J$29/100)*100)</f>
        <v>121.44827586206894</v>
      </c>
      <c r="BK68" s="68">
        <f t="shared" si="1"/>
        <v>121.44827586206894</v>
      </c>
      <c r="BL68" s="68"/>
      <c r="BM68" s="68"/>
      <c r="BN68" s="68"/>
      <c r="BO68" s="68"/>
      <c r="BQ68" s="5">
        <f t="shared" si="4"/>
        <v>3219288.5600606287</v>
      </c>
      <c r="BR68" s="5">
        <f>IF(BQ68="","",RANK(BQ68,BQ$11:BQ$9930,1)+COUNTIF(BQ$11:BQ68,BQ68)-1)</f>
        <v>77</v>
      </c>
      <c r="BS68" s="69">
        <f t="shared" si="2"/>
        <v>77</v>
      </c>
      <c r="BT68" s="1" t="str">
        <f>IFERROR(INDEX($O$11:$O$1013,MATCH(ROWS($BS$11:BS68),$BS$11:$BS$1005,0)),"")</f>
        <v>ETQP4M3R3KFN</v>
      </c>
      <c r="BU68" s="69" t="str">
        <f t="shared" si="5"/>
        <v>ETQP4M3R3KFN</v>
      </c>
    </row>
    <row r="69" spans="1:73" ht="15">
      <c r="A69" s="1">
        <v>54</v>
      </c>
      <c r="B69" s="28" t="s">
        <v>109</v>
      </c>
      <c r="D69" s="1" t="s">
        <v>110</v>
      </c>
      <c r="E69" s="58"/>
      <c r="F69" s="1" t="s">
        <v>111</v>
      </c>
      <c r="G69" s="2" t="s">
        <v>112</v>
      </c>
      <c r="H69" s="1" t="s">
        <v>113</v>
      </c>
      <c r="I69" s="2" t="s">
        <v>114</v>
      </c>
      <c r="J69" s="1" t="s">
        <v>115</v>
      </c>
      <c r="K69" s="1" t="s">
        <v>134</v>
      </c>
      <c r="L69" s="1" t="s">
        <v>135</v>
      </c>
      <c r="M69" s="1" t="s">
        <v>136</v>
      </c>
      <c r="N69" s="1" t="s">
        <v>119</v>
      </c>
      <c r="O69" s="59" t="s">
        <v>304</v>
      </c>
      <c r="P69" s="60" t="str">
        <f>MID(All_PCC_a[[#This Row],[Part Number]],7,3)</f>
        <v>4R7</v>
      </c>
      <c r="Q69" s="61">
        <v>4.7</v>
      </c>
      <c r="R69" s="61" t="str">
        <f>IF(All_PCC_a[[#This Row],[Lo (uH)]]&lt;1,"&lt;1",IF(All_PCC_a[[#This Row],[Lo (uH)]]&lt;10,"&lt;10",IF(All_PCC_a[[#This Row],[Lo (uH)]]&lt;100,"&lt;100",IF(All_PCC_a[[#This Row],[Lo (uH)]]&lt;2000,"&lt;2000",""))))</f>
        <v>&lt;10</v>
      </c>
      <c r="S69" s="61" t="str">
        <f>IFERROR(VLOOKUP(All_PCC_a[[#This Row],[Lo (uH)]],[1]Utility!$D$5:$E$43,2,1),"-")</f>
        <v>≤   5</v>
      </c>
      <c r="T69" s="62">
        <v>0.2</v>
      </c>
      <c r="U69" s="63">
        <v>45.6</v>
      </c>
      <c r="V69" s="63">
        <v>50.160000000000004</v>
      </c>
      <c r="W69" s="61">
        <v>10</v>
      </c>
      <c r="X69" s="61">
        <v>4.0999999999999996</v>
      </c>
      <c r="Y69" s="61">
        <v>3.4</v>
      </c>
      <c r="Z69" s="64">
        <v>6.7</v>
      </c>
      <c r="AA69" s="61">
        <v>5.4</v>
      </c>
      <c r="AB69" s="1">
        <v>5.5</v>
      </c>
      <c r="AC69" s="1">
        <v>5</v>
      </c>
      <c r="AD69" s="61">
        <v>3</v>
      </c>
      <c r="AE69" s="1">
        <f>ROUND(All_PCC_a[[#This Row],[L (mm)]]*All_PCC_a[[#This Row],[W (mm)]],1)</f>
        <v>27.5</v>
      </c>
      <c r="AF69" s="61" t="str">
        <f>All_PCC_a[[#This Row],[L (mm)]]&amp;"  x  "&amp;All_PCC_a[[#This Row],[W (mm)]]</f>
        <v>5,5  x  5</v>
      </c>
      <c r="AG69" s="65" t="s">
        <v>138</v>
      </c>
      <c r="AH69" s="61" t="str">
        <f>IF(All_PCC_a[[#This Row],[Max Height (mm)]]&lt;=9,"≤ "&amp;ROUNDUP(AD69,0),"≤"&amp;ROUNDUP(AD69,0))</f>
        <v>≤ 3</v>
      </c>
      <c r="AI69" s="1">
        <v>-55</v>
      </c>
      <c r="AJ69" s="1">
        <v>155</v>
      </c>
      <c r="AK69" s="1" t="str">
        <f>All_PCC_a[[#This Row],[Min Temp (deg.C)]]&amp;" to +"&amp;All_PCC_a[[#This Row],[Max Temp (deg.C)]]</f>
        <v>-55 to +155</v>
      </c>
      <c r="AL69" s="1"/>
      <c r="AO69" s="61" t="s">
        <v>122</v>
      </c>
      <c r="AP69" s="61" t="str">
        <f t="shared" si="7"/>
        <v>-</v>
      </c>
      <c r="AQ69" s="61" t="s">
        <v>122</v>
      </c>
      <c r="AR69" s="61" t="s">
        <v>122</v>
      </c>
      <c r="AS69" s="1" t="s">
        <v>305</v>
      </c>
      <c r="AT69" s="1" t="s">
        <v>140</v>
      </c>
      <c r="AU69" s="1" t="e" vm="1">
        <f ca="1">_xlfn.IMAGE(All_PCC_a[[#This Row],[Image URL]])</f>
        <v>#NAME?</v>
      </c>
      <c r="AW69" s="1"/>
      <c r="AY69" s="1"/>
      <c r="BC69" s="1">
        <f>IF(Z69&lt;('[1]DCDC Ref'!$J$24/'[1]DCDC Ref'!$J$26)*'[1]DCDC Ref'!$J$28/100,0,1)</f>
        <v>1</v>
      </c>
      <c r="BD69" s="66">
        <f>IF(BC69=1000000000,"",('All Data'!Q69-'[1]DCDC Ref'!$J$30)/'[1]DCDC Ref'!$J$30*100)</f>
        <v>643.73626373626371</v>
      </c>
      <c r="BE69" s="67">
        <f t="shared" si="3"/>
        <v>643.73626373626371</v>
      </c>
      <c r="BF69" s="67"/>
      <c r="BG69" s="66"/>
      <c r="BH69" s="68">
        <f t="shared" si="0"/>
        <v>0</v>
      </c>
      <c r="BI69" s="67"/>
      <c r="BJ69" s="1">
        <f>IF(BC69=0,"",('All Data'!Z69-'[1]DCDC Ref'!$J$28*('[1]DCDC Ref'!$J$29/100))/'[1]DCDC Ref'!$J$28*('[1]DCDC Ref'!$J$29/100)*100)</f>
        <v>-39.931034482758626</v>
      </c>
      <c r="BK69" s="68">
        <f t="shared" si="1"/>
        <v>10000</v>
      </c>
      <c r="BL69" s="68"/>
      <c r="BM69" s="68"/>
      <c r="BN69" s="68"/>
      <c r="BO69" s="68"/>
      <c r="BQ69" s="5">
        <f t="shared" si="4"/>
        <v>3268681.3186813183</v>
      </c>
      <c r="BR69" s="5">
        <f>IF(BQ69="","",RANK(BQ69,BQ$11:BQ$9930,1)+COUNTIF(BQ$11:BQ69,BQ69)-1)</f>
        <v>80</v>
      </c>
      <c r="BS69" s="69">
        <f t="shared" si="2"/>
        <v>80</v>
      </c>
      <c r="BT69" s="1" t="str">
        <f>IFERROR(INDEX($O$11:$O$1013,MATCH(ROWS($BS$11:BS69),$BS$11:$BS$1005,0)),"")</f>
        <v>ETQP4M3R3YFN</v>
      </c>
      <c r="BU69" s="69" t="str">
        <f t="shared" si="5"/>
        <v>ETQP4M3R3YFN</v>
      </c>
    </row>
    <row r="70" spans="1:73" ht="15">
      <c r="A70" s="1">
        <v>65</v>
      </c>
      <c r="B70" s="28" t="s">
        <v>109</v>
      </c>
      <c r="D70" s="1" t="s">
        <v>110</v>
      </c>
      <c r="E70" s="58"/>
      <c r="F70" s="1" t="s">
        <v>111</v>
      </c>
      <c r="G70" s="2" t="s">
        <v>112</v>
      </c>
      <c r="H70" s="1" t="s">
        <v>113</v>
      </c>
      <c r="I70" s="2" t="s">
        <v>114</v>
      </c>
      <c r="J70" s="1" t="s">
        <v>115</v>
      </c>
      <c r="K70" s="1" t="s">
        <v>134</v>
      </c>
      <c r="L70" s="1" t="s">
        <v>164</v>
      </c>
      <c r="M70" s="1" t="s">
        <v>165</v>
      </c>
      <c r="N70" s="1" t="s">
        <v>119</v>
      </c>
      <c r="O70" s="59" t="s">
        <v>306</v>
      </c>
      <c r="P70" s="60" t="str">
        <f>MID(All_PCC_a[[#This Row],[Part Number]],7,3)</f>
        <v>4R7</v>
      </c>
      <c r="Q70" s="61">
        <v>4.7</v>
      </c>
      <c r="R70" s="61" t="str">
        <f>IF(All_PCC_a[[#This Row],[Lo (uH)]]&lt;1,"&lt;1",IF(All_PCC_a[[#This Row],[Lo (uH)]]&lt;10,"&lt;10",IF(All_PCC_a[[#This Row],[Lo (uH)]]&lt;100,"&lt;100",IF(All_PCC_a[[#This Row],[Lo (uH)]]&lt;2000,"&lt;2000",""))))</f>
        <v>&lt;10</v>
      </c>
      <c r="S70" s="61" t="str">
        <f>IFERROR(VLOOKUP(All_PCC_a[[#This Row],[Lo (uH)]],[1]Utility!$D$5:$E$43,2,1),"-")</f>
        <v>≤   5</v>
      </c>
      <c r="T70" s="62">
        <v>0.2</v>
      </c>
      <c r="U70" s="63">
        <v>29</v>
      </c>
      <c r="V70" s="63">
        <v>31.900000000000002</v>
      </c>
      <c r="W70" s="61">
        <v>10</v>
      </c>
      <c r="X70" s="61">
        <v>5.6</v>
      </c>
      <c r="Y70" s="61">
        <v>4.5999999999999996</v>
      </c>
      <c r="Z70" s="64">
        <v>9.8000000000000007</v>
      </c>
      <c r="AA70" s="61">
        <v>7.19</v>
      </c>
      <c r="AB70" s="1">
        <v>6.4</v>
      </c>
      <c r="AC70" s="1">
        <v>6</v>
      </c>
      <c r="AD70" s="61">
        <v>3</v>
      </c>
      <c r="AE70" s="1">
        <f>ROUND(All_PCC_a[[#This Row],[L (mm)]]*All_PCC_a[[#This Row],[W (mm)]],1)</f>
        <v>38.4</v>
      </c>
      <c r="AF70" s="61" t="str">
        <f>All_PCC_a[[#This Row],[L (mm)]]&amp;"  x  "&amp;All_PCC_a[[#This Row],[W (mm)]]</f>
        <v>6,4  x  6</v>
      </c>
      <c r="AG70" s="65" t="s">
        <v>156</v>
      </c>
      <c r="AH70" s="61" t="str">
        <f>IF(All_PCC_a[[#This Row],[Max Height (mm)]]&lt;=9,"≤ "&amp;ROUNDUP(AD70,0),"≤"&amp;ROUNDUP(AD70,0))</f>
        <v>≤ 3</v>
      </c>
      <c r="AI70" s="1">
        <v>-55</v>
      </c>
      <c r="AJ70" s="1">
        <v>155</v>
      </c>
      <c r="AK70" s="1" t="str">
        <f>All_PCC_a[[#This Row],[Min Temp (deg.C)]]&amp;" to +"&amp;All_PCC_a[[#This Row],[Max Temp (deg.C)]]</f>
        <v>-55 to +155</v>
      </c>
      <c r="AL70" s="1"/>
      <c r="AO70" s="61" t="s">
        <v>122</v>
      </c>
      <c r="AP70" s="61" t="str">
        <f t="shared" si="7"/>
        <v>-</v>
      </c>
      <c r="AQ70" s="61" t="s">
        <v>122</v>
      </c>
      <c r="AR70" s="61" t="s">
        <v>122</v>
      </c>
      <c r="AS70" s="1" t="s">
        <v>307</v>
      </c>
      <c r="AT70" s="1" t="s">
        <v>140</v>
      </c>
      <c r="AU70" s="1" t="e" vm="1">
        <f ca="1">_xlfn.IMAGE(All_PCC_a[[#This Row],[Image URL]])</f>
        <v>#NAME?</v>
      </c>
      <c r="AW70" s="1"/>
      <c r="AY70" s="1"/>
      <c r="BC70" s="1">
        <f>IF(Z70&lt;('[1]DCDC Ref'!$J$24/'[1]DCDC Ref'!$J$26)*'[1]DCDC Ref'!$J$28/100,0,1)</f>
        <v>1</v>
      </c>
      <c r="BD70" s="66">
        <f>IF(BC70=1000000000,"",('All Data'!Q70-'[1]DCDC Ref'!$J$30)/'[1]DCDC Ref'!$J$30*100)</f>
        <v>643.73626373626371</v>
      </c>
      <c r="BE70" s="67">
        <f t="shared" si="3"/>
        <v>643.73626373626371</v>
      </c>
      <c r="BF70" s="67"/>
      <c r="BG70" s="66"/>
      <c r="BH70" s="68">
        <f t="shared" si="0"/>
        <v>0</v>
      </c>
      <c r="BI70" s="67"/>
      <c r="BJ70" s="1">
        <f>IF(BC70=0,"",('All Data'!Z70-'[1]DCDC Ref'!$J$28*('[1]DCDC Ref'!$J$29/100))/'[1]DCDC Ref'!$J$28*('[1]DCDC Ref'!$J$29/100)*100)</f>
        <v>-12.137931034482762</v>
      </c>
      <c r="BK70" s="68">
        <f t="shared" si="1"/>
        <v>10000</v>
      </c>
      <c r="BL70" s="68"/>
      <c r="BM70" s="68"/>
      <c r="BN70" s="68"/>
      <c r="BO70" s="68"/>
      <c r="BQ70" s="5">
        <f t="shared" si="4"/>
        <v>3268681.3186813183</v>
      </c>
      <c r="BR70" s="5">
        <f>IF(BQ70="","",RANK(BQ70,BQ$11:BQ$9930,1)+COUNTIF(BQ$11:BQ70,BQ70)-1)</f>
        <v>81</v>
      </c>
      <c r="BS70" s="69">
        <f t="shared" si="2"/>
        <v>81</v>
      </c>
      <c r="BT70" s="1" t="str">
        <f>IFERROR(INDEX($O$11:$O$1013,MATCH(ROWS($BS$11:BS70),$BS$11:$BS$1005,0)),"")</f>
        <v>ETQP5M3R3YFM</v>
      </c>
      <c r="BU70" s="69" t="str">
        <f t="shared" si="5"/>
        <v>ETQP5M3R3YFM</v>
      </c>
    </row>
    <row r="71" spans="1:73" ht="15">
      <c r="A71" s="1">
        <v>76</v>
      </c>
      <c r="B71" s="28" t="s">
        <v>109</v>
      </c>
      <c r="D71" s="1" t="s">
        <v>110</v>
      </c>
      <c r="E71" s="58"/>
      <c r="F71" s="1" t="s">
        <v>111</v>
      </c>
      <c r="G71" s="2" t="s">
        <v>112</v>
      </c>
      <c r="H71" s="1" t="s">
        <v>113</v>
      </c>
      <c r="I71" s="2" t="s">
        <v>114</v>
      </c>
      <c r="J71" s="1" t="s">
        <v>115</v>
      </c>
      <c r="K71" s="1" t="s">
        <v>134</v>
      </c>
      <c r="L71" s="1" t="s">
        <v>168</v>
      </c>
      <c r="M71" s="1" t="s">
        <v>169</v>
      </c>
      <c r="N71" s="1" t="s">
        <v>119</v>
      </c>
      <c r="O71" s="59" t="s">
        <v>308</v>
      </c>
      <c r="P71" s="60" t="str">
        <f>MID(All_PCC_a[[#This Row],[Part Number]],7,3)</f>
        <v>4R7</v>
      </c>
      <c r="Q71" s="1">
        <v>4.7</v>
      </c>
      <c r="R71" s="61" t="str">
        <f>IF(All_PCC_a[[#This Row],[Lo (uH)]]&lt;1,"&lt;1",IF(All_PCC_a[[#This Row],[Lo (uH)]]&lt;10,"&lt;10",IF(All_PCC_a[[#This Row],[Lo (uH)]]&lt;100,"&lt;100",IF(All_PCC_a[[#This Row],[Lo (uH)]]&lt;2000,"&lt;2000",""))))</f>
        <v>&lt;10</v>
      </c>
      <c r="S71" s="61" t="str">
        <f>IFERROR(VLOOKUP(All_PCC_a[[#This Row],[Lo (uH)]],[1]Utility!$D$5:$E$43,2,1),"-")</f>
        <v>≤   5</v>
      </c>
      <c r="T71" s="62">
        <v>0.2</v>
      </c>
      <c r="U71" s="99">
        <v>16.100000000000001</v>
      </c>
      <c r="V71" s="99">
        <v>17.71</v>
      </c>
      <c r="W71" s="1">
        <v>10</v>
      </c>
      <c r="X71" s="61">
        <v>8.3000000000000007</v>
      </c>
      <c r="Y71" s="1">
        <v>7.1</v>
      </c>
      <c r="Z71" s="100">
        <v>15.1</v>
      </c>
      <c r="AA71" s="61">
        <v>9.24</v>
      </c>
      <c r="AB71" s="1">
        <v>8.4</v>
      </c>
      <c r="AC71" s="1">
        <v>8</v>
      </c>
      <c r="AD71" s="1">
        <v>4</v>
      </c>
      <c r="AE71" s="1">
        <f>ROUND(All_PCC_a[[#This Row],[L (mm)]]*All_PCC_a[[#This Row],[W (mm)]],1)</f>
        <v>67.2</v>
      </c>
      <c r="AF71" s="61" t="str">
        <f>All_PCC_a[[#This Row],[L (mm)]]&amp;"  x  "&amp;All_PCC_a[[#This Row],[W (mm)]]</f>
        <v>8,4  x  8</v>
      </c>
      <c r="AG71" s="76" t="s">
        <v>171</v>
      </c>
      <c r="AH71" s="61" t="str">
        <f>IF(All_PCC_a[[#This Row],[Max Height (mm)]]&lt;=9,"≤ "&amp;ROUNDUP(AD71,0),"≤"&amp;ROUNDUP(AD71,0))</f>
        <v>≤ 4</v>
      </c>
      <c r="AI71" s="1">
        <v>-55</v>
      </c>
      <c r="AJ71" s="1">
        <v>155</v>
      </c>
      <c r="AK71" s="1" t="str">
        <f>All_PCC_a[[#This Row],[Min Temp (deg.C)]]&amp;" to +"&amp;All_PCC_a[[#This Row],[Max Temp (deg.C)]]</f>
        <v>-55 to +155</v>
      </c>
      <c r="AL71" s="1"/>
      <c r="AO71" s="1" t="s">
        <v>122</v>
      </c>
      <c r="AP71" s="61" t="str">
        <f t="shared" si="7"/>
        <v>-</v>
      </c>
      <c r="AQ71" s="1" t="s">
        <v>122</v>
      </c>
      <c r="AR71" s="61" t="s">
        <v>122</v>
      </c>
      <c r="AS71" s="1" t="s">
        <v>309</v>
      </c>
      <c r="AT71" s="1" t="s">
        <v>140</v>
      </c>
      <c r="AU71" s="1" t="e" vm="1">
        <f ca="1">_xlfn.IMAGE(All_PCC_a[[#This Row],[Image URL]])</f>
        <v>#NAME?</v>
      </c>
      <c r="AW71" s="1"/>
      <c r="AY71" s="1"/>
      <c r="BC71" s="1">
        <f>IF(Z71&lt;('[1]DCDC Ref'!$J$24/'[1]DCDC Ref'!$J$26)*'[1]DCDC Ref'!$J$28/100,0,1)</f>
        <v>1</v>
      </c>
      <c r="BD71" s="66">
        <f>IF(BC71=1000000000,"",('All Data'!Q71-'[1]DCDC Ref'!$J$30)/'[1]DCDC Ref'!$J$30*100)</f>
        <v>643.73626373626371</v>
      </c>
      <c r="BE71" s="67">
        <f t="shared" si="3"/>
        <v>643.73626373626371</v>
      </c>
      <c r="BF71" s="67"/>
      <c r="BG71" s="66"/>
      <c r="BH71" s="68">
        <f t="shared" si="0"/>
        <v>0</v>
      </c>
      <c r="BI71" s="67"/>
      <c r="BJ71" s="1">
        <f>IF(BC71=0,"",('All Data'!Z71-'[1]DCDC Ref'!$J$28*('[1]DCDC Ref'!$J$29/100))/'[1]DCDC Ref'!$J$28*('[1]DCDC Ref'!$J$29/100)*100)</f>
        <v>35.379310344827566</v>
      </c>
      <c r="BK71" s="68">
        <f t="shared" si="1"/>
        <v>35.379310344827566</v>
      </c>
      <c r="BL71" s="68"/>
      <c r="BM71" s="68"/>
      <c r="BN71" s="68"/>
      <c r="BO71" s="68"/>
      <c r="BQ71" s="5">
        <f t="shared" si="4"/>
        <v>3218858.2152330424</v>
      </c>
      <c r="BR71" s="5">
        <f>IF(BQ71="","",RANK(BQ71,BQ$11:BQ$9930,1)+COUNTIF(BQ$11:BQ71,BQ71)-1)</f>
        <v>74</v>
      </c>
      <c r="BS71" s="69">
        <f t="shared" si="2"/>
        <v>74</v>
      </c>
      <c r="BT71" s="1" t="str">
        <f>IFERROR(INDEX($O$11:$O$1013,MATCH(ROWS($BS$11:BS71),$BS$11:$BS$1005,0)),"")</f>
        <v>ETQP4M3R3KVC</v>
      </c>
      <c r="BU71" s="69" t="str">
        <f t="shared" si="5"/>
        <v>ETQP4M3R3KVC</v>
      </c>
    </row>
    <row r="72" spans="1:73" ht="15">
      <c r="A72" s="1">
        <v>88</v>
      </c>
      <c r="B72" s="28" t="s">
        <v>109</v>
      </c>
      <c r="D72" s="1" t="s">
        <v>110</v>
      </c>
      <c r="E72" s="58"/>
      <c r="F72" s="1" t="s">
        <v>111</v>
      </c>
      <c r="G72" s="2" t="s">
        <v>112</v>
      </c>
      <c r="H72" s="1" t="s">
        <v>113</v>
      </c>
      <c r="I72" s="2" t="s">
        <v>114</v>
      </c>
      <c r="J72" s="1" t="s">
        <v>115</v>
      </c>
      <c r="K72" s="1" t="s">
        <v>134</v>
      </c>
      <c r="L72" s="1" t="s">
        <v>191</v>
      </c>
      <c r="M72" s="1" t="s">
        <v>192</v>
      </c>
      <c r="N72" s="1" t="s">
        <v>119</v>
      </c>
      <c r="O72" s="96" t="s">
        <v>310</v>
      </c>
      <c r="P72" s="60" t="str">
        <f>MID(All_PCC_a[[#This Row],[Part Number]],7,3)</f>
        <v>4R7</v>
      </c>
      <c r="Q72" s="61">
        <v>4.7</v>
      </c>
      <c r="R72" s="61" t="str">
        <f>IF(All_PCC_a[[#This Row],[Lo (uH)]]&lt;1,"&lt;1",IF(All_PCC_a[[#This Row],[Lo (uH)]]&lt;10,"&lt;10",IF(All_PCC_a[[#This Row],[Lo (uH)]]&lt;100,"&lt;100",IF(All_PCC_a[[#This Row],[Lo (uH)]]&lt;2000,"&lt;2000",""))))</f>
        <v>&lt;10</v>
      </c>
      <c r="S72" s="61" t="str">
        <f>IFERROR(VLOOKUP(All_PCC_a[[#This Row],[Lo (uH)]],[1]Utility!$D$5:$E$43,2,1),"-")</f>
        <v>≤   5</v>
      </c>
      <c r="T72" s="62">
        <v>0.2</v>
      </c>
      <c r="U72" s="95">
        <v>12.3</v>
      </c>
      <c r="V72" s="95">
        <v>13.53</v>
      </c>
      <c r="W72" s="61">
        <v>10</v>
      </c>
      <c r="X72" s="61">
        <v>11.2</v>
      </c>
      <c r="Y72" s="86">
        <v>9.1999999999999993</v>
      </c>
      <c r="Z72" s="87">
        <v>13.9</v>
      </c>
      <c r="AA72" s="61">
        <v>10.58</v>
      </c>
      <c r="AB72" s="1">
        <v>10.7</v>
      </c>
      <c r="AC72" s="1">
        <v>10</v>
      </c>
      <c r="AD72" s="61">
        <v>4</v>
      </c>
      <c r="AE72" s="1">
        <f>ROUND(All_PCC_a[[#This Row],[L (mm)]]*All_PCC_a[[#This Row],[W (mm)]],1)</f>
        <v>107</v>
      </c>
      <c r="AF72" s="61" t="str">
        <f>All_PCC_a[[#This Row],[L (mm)]]&amp;"  x  "&amp;All_PCC_a[[#This Row],[W (mm)]]</f>
        <v>10,7  x  10</v>
      </c>
      <c r="AG72" s="65" t="s">
        <v>121</v>
      </c>
      <c r="AH72" s="61" t="str">
        <f>IF(All_PCC_a[[#This Row],[Max Height (mm)]]&lt;=9,"≤ "&amp;ROUNDUP(AD72,0),"≤"&amp;ROUNDUP(AD72,0))</f>
        <v>≤ 4</v>
      </c>
      <c r="AI72" s="1">
        <v>-55</v>
      </c>
      <c r="AJ72" s="1">
        <v>155</v>
      </c>
      <c r="AK72" s="1" t="str">
        <f>All_PCC_a[[#This Row],[Min Temp (deg.C)]]&amp;" to +"&amp;All_PCC_a[[#This Row],[Max Temp (deg.C)]]</f>
        <v>-55 to +155</v>
      </c>
      <c r="AL72" s="1"/>
      <c r="AO72" s="61" t="s">
        <v>122</v>
      </c>
      <c r="AP72" s="61" t="str">
        <f t="shared" si="7"/>
        <v>-</v>
      </c>
      <c r="AQ72" s="61" t="s">
        <v>122</v>
      </c>
      <c r="AR72" s="61" t="s">
        <v>122</v>
      </c>
      <c r="AS72" s="1" t="s">
        <v>311</v>
      </c>
      <c r="AT72" s="1" t="s">
        <v>140</v>
      </c>
      <c r="AU72" s="1" t="e" vm="1">
        <f ca="1">_xlfn.IMAGE(All_PCC_a[[#This Row],[Image URL]])</f>
        <v>#NAME?</v>
      </c>
      <c r="AW72" s="1"/>
      <c r="AY72" s="1"/>
      <c r="BC72" s="1">
        <f>IF(Z72&lt;('[1]DCDC Ref'!$J$24/'[1]DCDC Ref'!$J$26)*'[1]DCDC Ref'!$J$28/100,0,1)</f>
        <v>1</v>
      </c>
      <c r="BD72" s="66">
        <f>IF(BC72=1000000000,"",('All Data'!Q72-'[1]DCDC Ref'!$J$30)/'[1]DCDC Ref'!$J$30*100)</f>
        <v>643.73626373626371</v>
      </c>
      <c r="BE72" s="67">
        <f t="shared" si="3"/>
        <v>643.73626373626371</v>
      </c>
      <c r="BF72" s="67"/>
      <c r="BG72" s="66"/>
      <c r="BH72" s="68">
        <f t="shared" si="0"/>
        <v>0</v>
      </c>
      <c r="BI72" s="67"/>
      <c r="BJ72" s="1">
        <f>IF(BC72=0,"",('All Data'!Z72-'[1]DCDC Ref'!$J$28*('[1]DCDC Ref'!$J$29/100))/'[1]DCDC Ref'!$J$28*('[1]DCDC Ref'!$J$29/100)*100)</f>
        <v>24.620689655172402</v>
      </c>
      <c r="BK72" s="68">
        <f t="shared" si="1"/>
        <v>24.620689655172402</v>
      </c>
      <c r="BL72" s="68"/>
      <c r="BM72" s="68"/>
      <c r="BN72" s="68"/>
      <c r="BO72" s="68"/>
      <c r="BQ72" s="5">
        <f t="shared" si="4"/>
        <v>3218804.4221295943</v>
      </c>
      <c r="BR72" s="5">
        <f>IF(BQ72="","",RANK(BQ72,BQ$11:BQ$9930,1)+COUNTIF(BQ$11:BQ72,BQ72)-1)</f>
        <v>73</v>
      </c>
      <c r="BS72" s="69">
        <f t="shared" si="2"/>
        <v>73</v>
      </c>
      <c r="BT72" s="1" t="str">
        <f>IFERROR(INDEX($O$11:$O$1013,MATCH(ROWS($BS$11:BS72),$BS$11:$BS$1005,0)),"")</f>
        <v>ETQP4M3R3KVK</v>
      </c>
      <c r="BU72" s="69" t="str">
        <f t="shared" si="5"/>
        <v>ETQP4M3R3KVK</v>
      </c>
    </row>
    <row r="73" spans="1:73" ht="15">
      <c r="A73" s="1">
        <v>98</v>
      </c>
      <c r="B73" s="28" t="s">
        <v>109</v>
      </c>
      <c r="D73" s="1" t="s">
        <v>110</v>
      </c>
      <c r="E73" s="58"/>
      <c r="F73" s="1" t="s">
        <v>111</v>
      </c>
      <c r="G73" s="2" t="s">
        <v>112</v>
      </c>
      <c r="H73" s="1" t="s">
        <v>113</v>
      </c>
      <c r="I73" s="2" t="s">
        <v>114</v>
      </c>
      <c r="J73" s="1" t="s">
        <v>115</v>
      </c>
      <c r="K73" s="1" t="s">
        <v>273</v>
      </c>
      <c r="L73" s="1" t="s">
        <v>274</v>
      </c>
      <c r="M73" s="1" t="s">
        <v>275</v>
      </c>
      <c r="N73" s="1" t="s">
        <v>119</v>
      </c>
      <c r="O73" s="59" t="s">
        <v>312</v>
      </c>
      <c r="P73" s="60" t="str">
        <f>MID(All_PCC_a[[#This Row],[Part Number]],7,3)</f>
        <v>4R7</v>
      </c>
      <c r="Q73" s="61">
        <v>4.7</v>
      </c>
      <c r="R73" s="61" t="str">
        <f>IF(All_PCC_a[[#This Row],[Lo (uH)]]&lt;1,"&lt;1",IF(All_PCC_a[[#This Row],[Lo (uH)]]&lt;10,"&lt;10",IF(All_PCC_a[[#This Row],[Lo (uH)]]&lt;100,"&lt;100",IF(All_PCC_a[[#This Row],[Lo (uH)]]&lt;2000,"&lt;2000",""))))</f>
        <v>&lt;10</v>
      </c>
      <c r="S73" s="61" t="str">
        <f>IFERROR(VLOOKUP(All_PCC_a[[#This Row],[Lo (uH)]],[1]Utility!$D$5:$E$43,2,1),"-")</f>
        <v>≤   5</v>
      </c>
      <c r="T73" s="62">
        <v>0.2</v>
      </c>
      <c r="U73" s="63">
        <v>20.7</v>
      </c>
      <c r="V73" s="63">
        <v>22.77</v>
      </c>
      <c r="W73" s="61">
        <v>10</v>
      </c>
      <c r="X73" s="61">
        <v>7.3</v>
      </c>
      <c r="Y73" s="86">
        <v>5.7</v>
      </c>
      <c r="Z73" s="101">
        <v>10.199999999999999</v>
      </c>
      <c r="AA73" s="77">
        <v>7.31</v>
      </c>
      <c r="AB73" s="1">
        <v>6.4</v>
      </c>
      <c r="AC73" s="1">
        <v>6</v>
      </c>
      <c r="AD73" s="61">
        <v>4.8</v>
      </c>
      <c r="AE73" s="1">
        <f>ROUND(All_PCC_a[[#This Row],[L (mm)]]*All_PCC_a[[#This Row],[W (mm)]],1)</f>
        <v>38.4</v>
      </c>
      <c r="AF73" s="61" t="str">
        <f>All_PCC_a[[#This Row],[L (mm)]]&amp;"  x  "&amp;All_PCC_a[[#This Row],[W (mm)]]</f>
        <v>6,4  x  6</v>
      </c>
      <c r="AG73" s="65" t="s">
        <v>156</v>
      </c>
      <c r="AH73" s="61" t="str">
        <f>IF(All_PCC_a[[#This Row],[Max Height (mm)]]&lt;=9,"≤ "&amp;ROUNDUP(AD73,0),"≤"&amp;ROUNDUP(AD73,0))</f>
        <v>≤ 5</v>
      </c>
      <c r="AI73" s="1">
        <v>-40</v>
      </c>
      <c r="AJ73" s="1">
        <v>150</v>
      </c>
      <c r="AK73" s="1" t="str">
        <f>All_PCC_a[[#This Row],[Min Temp (deg.C)]]&amp;" to +"&amp;All_PCC_a[[#This Row],[Max Temp (deg.C)]]</f>
        <v>-40 to +150</v>
      </c>
      <c r="AL73" s="1"/>
      <c r="AO73" s="61" t="s">
        <v>122</v>
      </c>
      <c r="AP73" s="61" t="str">
        <f t="shared" si="7"/>
        <v>-</v>
      </c>
      <c r="AQ73" s="61" t="s">
        <v>122</v>
      </c>
      <c r="AR73" s="61" t="s">
        <v>122</v>
      </c>
      <c r="AS73" s="1" t="s">
        <v>313</v>
      </c>
      <c r="AT73" s="1" t="s">
        <v>278</v>
      </c>
      <c r="AU73" s="1" t="e" vm="1">
        <f ca="1">_xlfn.IMAGE(All_PCC_a[[#This Row],[Image URL]])</f>
        <v>#NAME?</v>
      </c>
      <c r="AW73" s="1"/>
      <c r="AY73" s="1"/>
      <c r="BC73" s="1">
        <f>IF(Z73&lt;('[1]DCDC Ref'!$J$24/'[1]DCDC Ref'!$J$26)*'[1]DCDC Ref'!$J$28/100,0,1)</f>
        <v>1</v>
      </c>
      <c r="BD73" s="66">
        <f>IF(BC73=1000000000,"",('All Data'!Q73-'[1]DCDC Ref'!$J$30)/'[1]DCDC Ref'!$J$30*100)</f>
        <v>643.73626373626371</v>
      </c>
      <c r="BE73" s="67">
        <f t="shared" si="3"/>
        <v>643.73626373626371</v>
      </c>
      <c r="BF73" s="67"/>
      <c r="BG73" s="66"/>
      <c r="BH73" s="68">
        <f t="shared" si="0"/>
        <v>0</v>
      </c>
      <c r="BI73" s="67"/>
      <c r="BJ73" s="1">
        <f>IF(BC73=0,"",('All Data'!Z73-'[1]DCDC Ref'!$J$28*('[1]DCDC Ref'!$J$29/100))/'[1]DCDC Ref'!$J$28*('[1]DCDC Ref'!$J$29/100)*100)</f>
        <v>-8.5517241379310516</v>
      </c>
      <c r="BK73" s="68">
        <f t="shared" si="1"/>
        <v>10000</v>
      </c>
      <c r="BL73" s="68"/>
      <c r="BM73" s="68"/>
      <c r="BN73" s="68"/>
      <c r="BO73" s="68"/>
      <c r="BQ73" s="5">
        <f t="shared" si="4"/>
        <v>3268681.3186813183</v>
      </c>
      <c r="BR73" s="5">
        <f>IF(BQ73="","",RANK(BQ73,BQ$11:BQ$9930,1)+COUNTIF(BQ$11:BQ73,BQ73)-1)</f>
        <v>82</v>
      </c>
      <c r="BS73" s="69">
        <f t="shared" si="2"/>
        <v>82</v>
      </c>
      <c r="BT73" s="1" t="str">
        <f>IFERROR(INDEX($O$11:$O$1013,MATCH(ROWS($BS$11:BS73),$BS$11:$BS$1005,0)),"")</f>
        <v>ETQP5M3R3YFK</v>
      </c>
      <c r="BU73" s="69" t="str">
        <f t="shared" si="5"/>
        <v>ETQP5M3R3YFK</v>
      </c>
    </row>
    <row r="74" spans="1:73" ht="15">
      <c r="A74" s="1">
        <v>101</v>
      </c>
      <c r="B74" s="28" t="s">
        <v>109</v>
      </c>
      <c r="D74" s="1" t="s">
        <v>110</v>
      </c>
      <c r="E74" s="58"/>
      <c r="F74" s="1" t="s">
        <v>111</v>
      </c>
      <c r="G74" s="2" t="s">
        <v>112</v>
      </c>
      <c r="H74" s="1" t="s">
        <v>113</v>
      </c>
      <c r="I74" s="2" t="s">
        <v>114</v>
      </c>
      <c r="J74" s="1" t="s">
        <v>115</v>
      </c>
      <c r="K74" s="1" t="s">
        <v>273</v>
      </c>
      <c r="L74" s="1" t="s">
        <v>314</v>
      </c>
      <c r="M74" s="1" t="s">
        <v>315</v>
      </c>
      <c r="N74" s="1" t="s">
        <v>119</v>
      </c>
      <c r="O74" s="59" t="s">
        <v>316</v>
      </c>
      <c r="P74" s="60" t="str">
        <f>MID(All_PCC_a[[#This Row],[Part Number]],7,3)</f>
        <v>4R7</v>
      </c>
      <c r="Q74" s="61">
        <v>4.7</v>
      </c>
      <c r="R74" s="61" t="str">
        <f>IF(All_PCC_a[[#This Row],[Lo (uH)]]&lt;1,"&lt;1",IF(All_PCC_a[[#This Row],[Lo (uH)]]&lt;10,"&lt;10",IF(All_PCC_a[[#This Row],[Lo (uH)]]&lt;100,"&lt;100",IF(All_PCC_a[[#This Row],[Lo (uH)]]&lt;2000,"&lt;2000",""))))</f>
        <v>&lt;10</v>
      </c>
      <c r="S74" s="61" t="str">
        <f>IFERROR(VLOOKUP(All_PCC_a[[#This Row],[Lo (uH)]],[1]Utility!$D$5:$E$43,2,1),"-")</f>
        <v>≤   5</v>
      </c>
      <c r="T74" s="62">
        <v>0.2</v>
      </c>
      <c r="U74" s="63">
        <v>16.8</v>
      </c>
      <c r="V74" s="63">
        <v>18.48</v>
      </c>
      <c r="W74" s="61">
        <v>10</v>
      </c>
      <c r="X74" s="61">
        <v>8.8000000000000007</v>
      </c>
      <c r="Y74" s="86">
        <v>6.5</v>
      </c>
      <c r="Z74" s="87">
        <v>10.7</v>
      </c>
      <c r="AA74" s="61">
        <v>7.7</v>
      </c>
      <c r="AB74" s="1">
        <v>7.4</v>
      </c>
      <c r="AC74" s="1">
        <v>7</v>
      </c>
      <c r="AD74" s="61">
        <v>4.8</v>
      </c>
      <c r="AE74" s="1">
        <f>ROUND(All_PCC_a[[#This Row],[L (mm)]]*All_PCC_a[[#This Row],[W (mm)]],1)</f>
        <v>51.8</v>
      </c>
      <c r="AF74" s="61" t="str">
        <f>All_PCC_a[[#This Row],[L (mm)]]&amp;"  x  "&amp;All_PCC_a[[#This Row],[W (mm)]]</f>
        <v>7,4  x  7</v>
      </c>
      <c r="AG74" s="74" t="s">
        <v>282</v>
      </c>
      <c r="AH74" s="61" t="str">
        <f>IF(All_PCC_a[[#This Row],[Max Height (mm)]]&lt;=9,"≤ "&amp;ROUNDUP(AD74,0),"≤"&amp;ROUNDUP(AD74,0))</f>
        <v>≤ 5</v>
      </c>
      <c r="AI74" s="1">
        <v>-40</v>
      </c>
      <c r="AJ74" s="1">
        <v>150</v>
      </c>
      <c r="AK74" s="1" t="str">
        <f>All_PCC_a[[#This Row],[Min Temp (deg.C)]]&amp;" to +"&amp;All_PCC_a[[#This Row],[Max Temp (deg.C)]]</f>
        <v>-40 to +150</v>
      </c>
      <c r="AL74" s="1"/>
      <c r="AO74" s="61" t="s">
        <v>122</v>
      </c>
      <c r="AP74" s="61" t="str">
        <f t="shared" si="7"/>
        <v>-</v>
      </c>
      <c r="AQ74" s="61" t="s">
        <v>122</v>
      </c>
      <c r="AR74" s="61" t="s">
        <v>122</v>
      </c>
      <c r="AS74" s="1" t="s">
        <v>317</v>
      </c>
      <c r="AT74" s="1" t="s">
        <v>278</v>
      </c>
      <c r="AU74" s="1" t="e" vm="1">
        <f ca="1">_xlfn.IMAGE(All_PCC_a[[#This Row],[Image URL]])</f>
        <v>#NAME?</v>
      </c>
      <c r="AW74" s="1"/>
      <c r="AY74" s="1"/>
      <c r="BC74" s="1">
        <f>IF(Z74&lt;('[1]DCDC Ref'!$J$24/'[1]DCDC Ref'!$J$26)*'[1]DCDC Ref'!$J$28/100,0,1)</f>
        <v>1</v>
      </c>
      <c r="BD74" s="66">
        <f>IF(BC74=1000000000,"",('All Data'!Q74-'[1]DCDC Ref'!$J$30)/'[1]DCDC Ref'!$J$30*100)</f>
        <v>643.73626373626371</v>
      </c>
      <c r="BE74" s="67">
        <f t="shared" si="3"/>
        <v>643.73626373626371</v>
      </c>
      <c r="BF74" s="67"/>
      <c r="BG74" s="66"/>
      <c r="BH74" s="68">
        <f t="shared" si="0"/>
        <v>0</v>
      </c>
      <c r="BI74" s="67"/>
      <c r="BJ74" s="1">
        <f>IF(BC74=0,"",('All Data'!Z74-'[1]DCDC Ref'!$J$28*('[1]DCDC Ref'!$J$29/100))/'[1]DCDC Ref'!$J$28*('[1]DCDC Ref'!$J$29/100)*100)</f>
        <v>-4.0689655172413968</v>
      </c>
      <c r="BK74" s="68">
        <f t="shared" si="1"/>
        <v>10000</v>
      </c>
      <c r="BL74" s="68"/>
      <c r="BM74" s="68"/>
      <c r="BN74" s="68"/>
      <c r="BO74" s="68"/>
      <c r="BQ74" s="5">
        <f t="shared" si="4"/>
        <v>3268681.3186813183</v>
      </c>
      <c r="BR74" s="5">
        <f>IF(BQ74="","",RANK(BQ74,BQ$11:BQ$9930,1)+COUNTIF(BQ$11:BQ74,BQ74)-1)</f>
        <v>83</v>
      </c>
      <c r="BS74" s="69">
        <f t="shared" si="2"/>
        <v>83</v>
      </c>
      <c r="BT74" s="1" t="str">
        <f>IFERROR(INDEX($O$11:$O$1013,MATCH(ROWS($BS$11:BS74),$BS$11:$BS$1005,0)),"")</f>
        <v>ETQP5M3R3YFC</v>
      </c>
      <c r="BU74" s="69" t="str">
        <f t="shared" si="5"/>
        <v>ETQP5M3R3YFC</v>
      </c>
    </row>
    <row r="75" spans="1:73">
      <c r="A75" s="1">
        <v>4</v>
      </c>
      <c r="B75" s="28" t="s">
        <v>109</v>
      </c>
      <c r="D75" s="1" t="s">
        <v>110</v>
      </c>
      <c r="E75" s="58"/>
      <c r="F75" s="1" t="s">
        <v>111</v>
      </c>
      <c r="G75" s="2" t="s">
        <v>112</v>
      </c>
      <c r="H75" s="1" t="s">
        <v>113</v>
      </c>
      <c r="I75" s="2" t="s">
        <v>114</v>
      </c>
      <c r="J75" s="1" t="s">
        <v>115</v>
      </c>
      <c r="K75" s="1" t="s">
        <v>116</v>
      </c>
      <c r="L75" s="1" t="s">
        <v>236</v>
      </c>
      <c r="M75" s="1" t="s">
        <v>254</v>
      </c>
      <c r="N75" s="1" t="s">
        <v>154</v>
      </c>
      <c r="O75" s="59" t="s">
        <v>318</v>
      </c>
      <c r="P75" s="60" t="str">
        <f>MID(All_PCC_a[[#This Row],[Part Number]],7,3)</f>
        <v>6R8</v>
      </c>
      <c r="Q75" s="85">
        <v>6.8</v>
      </c>
      <c r="R75" s="61" t="str">
        <f>IF(All_PCC_a[[#This Row],[Lo (uH)]]&lt;1,"&lt;1",IF(All_PCC_a[[#This Row],[Lo (uH)]]&lt;10,"&lt;10",IF(All_PCC_a[[#This Row],[Lo (uH)]]&lt;100,"&lt;100",IF(All_PCC_a[[#This Row],[Lo (uH)]]&lt;2000,"&lt;2000",""))))</f>
        <v>&lt;10</v>
      </c>
      <c r="S75" s="61" t="str">
        <f>IFERROR(VLOOKUP(All_PCC_a[[#This Row],[Lo (uH)]],[1]Utility!$D$5:$E$43,2,1),"-")</f>
        <v>≤   7</v>
      </c>
      <c r="T75" s="62">
        <v>0.2</v>
      </c>
      <c r="U75" s="70">
        <v>39.299999999999997</v>
      </c>
      <c r="V75" s="70">
        <v>43.23</v>
      </c>
      <c r="W75" s="61">
        <v>10</v>
      </c>
      <c r="X75" s="61">
        <v>5.2</v>
      </c>
      <c r="Y75" s="61">
        <v>4.0999999999999996</v>
      </c>
      <c r="Z75" s="64">
        <v>10</v>
      </c>
      <c r="AA75" s="61">
        <v>7.2</v>
      </c>
      <c r="AB75" s="1">
        <v>6.5</v>
      </c>
      <c r="AC75" s="1">
        <v>6</v>
      </c>
      <c r="AD75" s="61">
        <v>4.5</v>
      </c>
      <c r="AE75" s="1">
        <f>ROUND(All_PCC_a[[#This Row],[L (mm)]]*All_PCC_a[[#This Row],[W (mm)]],1)</f>
        <v>39</v>
      </c>
      <c r="AF75" s="61" t="str">
        <f>All_PCC_a[[#This Row],[L (mm)]]&amp;"  x  "&amp;All_PCC_a[[#This Row],[W (mm)]]</f>
        <v>6,5  x  6</v>
      </c>
      <c r="AG75" s="76" t="s">
        <v>156</v>
      </c>
      <c r="AH75" s="61" t="str">
        <f>IF(All_PCC_a[[#This Row],[Max Height (mm)]]&lt;=9,"≤ "&amp;ROUNDUP(AD75,0),"≤"&amp;ROUNDUP(AD75,0))</f>
        <v>≤ 5</v>
      </c>
      <c r="AI75" s="11">
        <v>-40</v>
      </c>
      <c r="AJ75" s="11">
        <v>150</v>
      </c>
      <c r="AK75" s="1" t="str">
        <f>All_PCC_a[[#This Row],[Min Temp (deg.C)]]&amp;" to +"&amp;All_PCC_a[[#This Row],[Max Temp (deg.C)]]</f>
        <v>-40 to +150</v>
      </c>
      <c r="AL75" s="1"/>
      <c r="AO75" s="61" t="s">
        <v>144</v>
      </c>
      <c r="AP75" s="61" t="str">
        <f t="shared" si="7"/>
        <v>-</v>
      </c>
      <c r="AQ75" s="62" t="s">
        <v>122</v>
      </c>
      <c r="AR75" s="61" t="s">
        <v>122</v>
      </c>
      <c r="AS75" s="1" t="s">
        <v>319</v>
      </c>
      <c r="AT75" s="1" t="s">
        <v>124</v>
      </c>
      <c r="AU75" s="1" t="e" vm="1">
        <f ca="1">_xlfn.IMAGE(All_PCC_a[[#This Row],[Image URL]])</f>
        <v>#NAME?</v>
      </c>
      <c r="AW75" s="1"/>
      <c r="AY75" s="1"/>
      <c r="BC75" s="1">
        <f>IF(Z75&lt;('[1]DCDC Ref'!$J$24/'[1]DCDC Ref'!$J$26)*'[1]DCDC Ref'!$J$28/100,0,1)</f>
        <v>1</v>
      </c>
      <c r="BD75" s="66">
        <f>IF(BC75=1000000000,"",('All Data'!Q75-'[1]DCDC Ref'!$J$30)/'[1]DCDC Ref'!$J$30*100)</f>
        <v>976.04395604395597</v>
      </c>
      <c r="BE75" s="67">
        <f t="shared" si="3"/>
        <v>976.04395604395597</v>
      </c>
      <c r="BF75" s="67"/>
      <c r="BG75" s="66"/>
      <c r="BH75" s="68">
        <f t="shared" ref="BH75:BH138" si="8">IF(BG75&lt;0,10000,BG75)</f>
        <v>0</v>
      </c>
      <c r="BI75" s="67"/>
      <c r="BJ75" s="1">
        <f>IF(BC75=0,"",('All Data'!Z75-'[1]DCDC Ref'!$J$28*('[1]DCDC Ref'!$J$29/100))/'[1]DCDC Ref'!$J$28*('[1]DCDC Ref'!$J$29/100)*100)</f>
        <v>-10.344827586206906</v>
      </c>
      <c r="BK75" s="68">
        <f t="shared" ref="BK75:BK138" si="9">IF(BJ75&lt;0,10000,BJ75)</f>
        <v>10000</v>
      </c>
      <c r="BL75" s="68"/>
      <c r="BM75" s="68"/>
      <c r="BN75" s="68"/>
      <c r="BO75" s="68"/>
      <c r="BQ75" s="5">
        <f t="shared" si="4"/>
        <v>4930219.7802197803</v>
      </c>
      <c r="BR75" s="5">
        <f>IF(BQ75="","",RANK(BQ75,BQ$11:BQ$9930,1)+COUNTIF(BQ$11:BQ75,BQ75)-1)</f>
        <v>87</v>
      </c>
      <c r="BS75" s="69">
        <f t="shared" ref="BS75:BS138" si="10">RANK(BR75,BR$11:BR$9930,1)</f>
        <v>87</v>
      </c>
      <c r="BT75" s="1" t="str">
        <f>IFERROR(INDEX($O$11:$O$1013,MATCH(ROWS($BS$11:BS75),$BS$11:$BS$1005,0)),"")</f>
        <v>ETQP5M3R3YTC</v>
      </c>
      <c r="BU75" s="69" t="str">
        <f t="shared" si="5"/>
        <v>ETQP5M3R3YTC</v>
      </c>
    </row>
    <row r="76" spans="1:73" ht="15">
      <c r="A76" s="1">
        <v>31</v>
      </c>
      <c r="B76" s="28" t="s">
        <v>109</v>
      </c>
      <c r="D76" s="1" t="s">
        <v>110</v>
      </c>
      <c r="E76" s="58"/>
      <c r="F76" s="1" t="s">
        <v>111</v>
      </c>
      <c r="G76" s="2" t="s">
        <v>112</v>
      </c>
      <c r="H76" s="1" t="s">
        <v>113</v>
      </c>
      <c r="I76" s="2" t="s">
        <v>114</v>
      </c>
      <c r="J76" s="1" t="s">
        <v>115</v>
      </c>
      <c r="K76" s="1" t="s">
        <v>116</v>
      </c>
      <c r="L76" s="1" t="s">
        <v>279</v>
      </c>
      <c r="M76" s="1" t="s">
        <v>297</v>
      </c>
      <c r="N76" s="1" t="s">
        <v>119</v>
      </c>
      <c r="O76" s="59" t="s">
        <v>320</v>
      </c>
      <c r="P76" s="60" t="str">
        <f>MID(All_PCC_a[[#This Row],[Part Number]],7,3)</f>
        <v>6R8</v>
      </c>
      <c r="Q76" s="61">
        <v>6.8</v>
      </c>
      <c r="R76" s="61" t="str">
        <f>IF(All_PCC_a[[#This Row],[Lo (uH)]]&lt;1,"&lt;1",IF(All_PCC_a[[#This Row],[Lo (uH)]]&lt;10,"&lt;10",IF(All_PCC_a[[#This Row],[Lo (uH)]]&lt;100,"&lt;100",IF(All_PCC_a[[#This Row],[Lo (uH)]]&lt;2000,"&lt;2000",""))))</f>
        <v>&lt;10</v>
      </c>
      <c r="S76" s="61" t="str">
        <f>IFERROR(VLOOKUP(All_PCC_a[[#This Row],[Lo (uH)]],[1]Utility!$D$5:$E$43,2,1),"-")</f>
        <v>≤   7</v>
      </c>
      <c r="T76" s="62">
        <v>0.2</v>
      </c>
      <c r="U76" s="63">
        <v>26.7</v>
      </c>
      <c r="V76" s="63">
        <v>29.4</v>
      </c>
      <c r="W76" s="61">
        <v>10</v>
      </c>
      <c r="X76" s="61">
        <v>6.9</v>
      </c>
      <c r="Y76" s="61">
        <v>5.5</v>
      </c>
      <c r="Z76" s="64">
        <v>12.1</v>
      </c>
      <c r="AA76" s="61">
        <v>8.6</v>
      </c>
      <c r="AB76" s="1">
        <v>7.5</v>
      </c>
      <c r="AC76" s="1">
        <v>7</v>
      </c>
      <c r="AD76" s="61">
        <v>5.4</v>
      </c>
      <c r="AE76" s="1">
        <f>ROUND(All_PCC_a[[#This Row],[L (mm)]]*All_PCC_a[[#This Row],[W (mm)]],1)</f>
        <v>52.5</v>
      </c>
      <c r="AF76" s="61" t="str">
        <f>All_PCC_a[[#This Row],[L (mm)]]&amp;"  x  "&amp;All_PCC_a[[#This Row],[W (mm)]]</f>
        <v>7,5  x  7</v>
      </c>
      <c r="AG76" s="74" t="s">
        <v>282</v>
      </c>
      <c r="AH76" s="61" t="str">
        <f>IF(All_PCC_a[[#This Row],[Max Height (mm)]]&lt;=9,"≤ "&amp;ROUNDUP(AD76,0),"≤"&amp;ROUNDUP(AD76,0))</f>
        <v>≤ 6</v>
      </c>
      <c r="AI76" s="1">
        <v>-40</v>
      </c>
      <c r="AJ76" s="1">
        <v>150</v>
      </c>
      <c r="AK76" s="1" t="str">
        <f>All_PCC_a[[#This Row],[Min Temp (deg.C)]]&amp;" to +"&amp;All_PCC_a[[#This Row],[Max Temp (deg.C)]]</f>
        <v>-40 to +150</v>
      </c>
      <c r="AL76" s="1"/>
      <c r="AO76" s="61" t="s">
        <v>122</v>
      </c>
      <c r="AP76" s="61" t="str">
        <f t="shared" si="7"/>
        <v>-</v>
      </c>
      <c r="AQ76" s="61" t="s">
        <v>122</v>
      </c>
      <c r="AR76" s="61" t="s">
        <v>122</v>
      </c>
      <c r="AS76" s="1" t="s">
        <v>321</v>
      </c>
      <c r="AT76" s="1" t="s">
        <v>124</v>
      </c>
      <c r="AU76" s="1" t="e" vm="1">
        <f ca="1">_xlfn.IMAGE(All_PCC_a[[#This Row],[Image URL]])</f>
        <v>#NAME?</v>
      </c>
      <c r="AW76" s="1"/>
      <c r="AY76" s="1"/>
      <c r="BC76" s="1">
        <f>IF(Z76&lt;('[1]DCDC Ref'!$J$24/'[1]DCDC Ref'!$J$26)*'[1]DCDC Ref'!$J$28/100,0,1)</f>
        <v>1</v>
      </c>
      <c r="BD76" s="66">
        <f>IF(BC76=1000000000,"",('All Data'!Q76-'[1]DCDC Ref'!$J$30)/'[1]DCDC Ref'!$J$30*100)</f>
        <v>976.04395604395597</v>
      </c>
      <c r="BE76" s="67">
        <f t="shared" ref="BE76:BE139" si="11">ABS(BD76)</f>
        <v>976.04395604395597</v>
      </c>
      <c r="BF76" s="67"/>
      <c r="BG76" s="66"/>
      <c r="BH76" s="68">
        <f t="shared" si="8"/>
        <v>0</v>
      </c>
      <c r="BI76" s="67"/>
      <c r="BJ76" s="1">
        <f>IF(BC76=0,"",('All Data'!Z76-'[1]DCDC Ref'!$J$28*('[1]DCDC Ref'!$J$29/100))/'[1]DCDC Ref'!$J$28*('[1]DCDC Ref'!$J$29/100)*100)</f>
        <v>8.4827586206896406</v>
      </c>
      <c r="BK76" s="68">
        <f t="shared" si="9"/>
        <v>8.4827586206896406</v>
      </c>
      <c r="BL76" s="68"/>
      <c r="BM76" s="68"/>
      <c r="BN76" s="68"/>
      <c r="BO76" s="68"/>
      <c r="BQ76" s="5">
        <f t="shared" ref="BQ76:BQ139" si="12">IFERROR(BE76*$BP$6+BK76*$BP$7,"")</f>
        <v>4880262.1940128841</v>
      </c>
      <c r="BR76" s="5">
        <f>IF(BQ76="","",RANK(BQ76,BQ$11:BQ$9930,1)+COUNTIF(BQ$11:BQ76,BQ76)-1)</f>
        <v>84</v>
      </c>
      <c r="BS76" s="69">
        <f t="shared" si="10"/>
        <v>84</v>
      </c>
      <c r="BT76" s="1" t="str">
        <f>IFERROR(INDEX($O$11:$O$1013,MATCH(ROWS($BS$11:BS76),$BS$11:$BS$1005,0)),"")</f>
        <v>ETQP5M3R3YGC</v>
      </c>
      <c r="BU76" s="69" t="str">
        <f t="shared" ref="BU76:BU139" si="13">IF(BT76&lt;&gt;"",BT76,"")</f>
        <v>ETQP5M3R3YGC</v>
      </c>
    </row>
    <row r="77" spans="1:73" ht="15">
      <c r="A77" s="1">
        <v>53</v>
      </c>
      <c r="B77" s="28" t="s">
        <v>109</v>
      </c>
      <c r="D77" s="1" t="s">
        <v>110</v>
      </c>
      <c r="E77" s="58"/>
      <c r="F77" s="1" t="s">
        <v>111</v>
      </c>
      <c r="G77" s="2" t="s">
        <v>112</v>
      </c>
      <c r="H77" s="1" t="s">
        <v>113</v>
      </c>
      <c r="I77" s="2" t="s">
        <v>114</v>
      </c>
      <c r="J77" s="1" t="s">
        <v>115</v>
      </c>
      <c r="K77" s="1" t="s">
        <v>134</v>
      </c>
      <c r="L77" s="1" t="s">
        <v>135</v>
      </c>
      <c r="M77" s="1" t="s">
        <v>136</v>
      </c>
      <c r="N77" s="1" t="s">
        <v>119</v>
      </c>
      <c r="O77" s="59" t="s">
        <v>322</v>
      </c>
      <c r="P77" s="60" t="str">
        <f>MID(All_PCC_a[[#This Row],[Part Number]],7,3)</f>
        <v>6R8</v>
      </c>
      <c r="Q77" s="61">
        <v>6.8</v>
      </c>
      <c r="R77" s="61" t="str">
        <f>IF(All_PCC_a[[#This Row],[Lo (uH)]]&lt;1,"&lt;1",IF(All_PCC_a[[#This Row],[Lo (uH)]]&lt;10,"&lt;10",IF(All_PCC_a[[#This Row],[Lo (uH)]]&lt;100,"&lt;100",IF(All_PCC_a[[#This Row],[Lo (uH)]]&lt;2000,"&lt;2000",""))))</f>
        <v>&lt;10</v>
      </c>
      <c r="S77" s="61" t="str">
        <f>IFERROR(VLOOKUP(All_PCC_a[[#This Row],[Lo (uH)]],[1]Utility!$D$5:$E$43,2,1),"-")</f>
        <v>≤   7</v>
      </c>
      <c r="T77" s="62">
        <v>0.2</v>
      </c>
      <c r="U77" s="63">
        <v>65.7</v>
      </c>
      <c r="V77" s="63">
        <v>72.27000000000001</v>
      </c>
      <c r="W77" s="61">
        <v>10</v>
      </c>
      <c r="X77" s="61">
        <v>3.5</v>
      </c>
      <c r="Y77" s="61">
        <v>2.9</v>
      </c>
      <c r="Z77" s="64">
        <v>6.1</v>
      </c>
      <c r="AA77" s="61">
        <v>4.54</v>
      </c>
      <c r="AB77" s="1">
        <v>5.5</v>
      </c>
      <c r="AC77" s="1">
        <v>5</v>
      </c>
      <c r="AD77" s="61">
        <v>3</v>
      </c>
      <c r="AE77" s="1">
        <f>ROUND(All_PCC_a[[#This Row],[L (mm)]]*All_PCC_a[[#This Row],[W (mm)]],1)</f>
        <v>27.5</v>
      </c>
      <c r="AF77" s="61" t="str">
        <f>All_PCC_a[[#This Row],[L (mm)]]&amp;"  x  "&amp;All_PCC_a[[#This Row],[W (mm)]]</f>
        <v>5,5  x  5</v>
      </c>
      <c r="AG77" s="65" t="s">
        <v>138</v>
      </c>
      <c r="AH77" s="61" t="str">
        <f>IF(All_PCC_a[[#This Row],[Max Height (mm)]]&lt;=9,"≤ "&amp;ROUNDUP(AD77,0),"≤"&amp;ROUNDUP(AD77,0))</f>
        <v>≤ 3</v>
      </c>
      <c r="AI77" s="1">
        <v>-55</v>
      </c>
      <c r="AJ77" s="1">
        <v>155</v>
      </c>
      <c r="AK77" s="1" t="str">
        <f>All_PCC_a[[#This Row],[Min Temp (deg.C)]]&amp;" to +"&amp;All_PCC_a[[#This Row],[Max Temp (deg.C)]]</f>
        <v>-55 to +155</v>
      </c>
      <c r="AL77" s="1"/>
      <c r="AO77" s="61" t="s">
        <v>122</v>
      </c>
      <c r="AP77" s="61" t="str">
        <f t="shared" si="7"/>
        <v>-</v>
      </c>
      <c r="AQ77" s="61" t="s">
        <v>122</v>
      </c>
      <c r="AR77" s="61" t="s">
        <v>122</v>
      </c>
      <c r="AS77" s="1" t="s">
        <v>323</v>
      </c>
      <c r="AT77" s="1" t="s">
        <v>140</v>
      </c>
      <c r="AU77" s="1" t="e" vm="1">
        <f ca="1">_xlfn.IMAGE(All_PCC_a[[#This Row],[Image URL]])</f>
        <v>#NAME?</v>
      </c>
      <c r="AW77" s="1"/>
      <c r="AY77" s="1"/>
      <c r="BC77" s="1">
        <f>IF(Z77&lt;('[1]DCDC Ref'!$J$24/'[1]DCDC Ref'!$J$26)*'[1]DCDC Ref'!$J$28/100,0,1)</f>
        <v>1</v>
      </c>
      <c r="BD77" s="66">
        <f>IF(BC77=1000000000,"",('All Data'!Q77-'[1]DCDC Ref'!$J$30)/'[1]DCDC Ref'!$J$30*100)</f>
        <v>976.04395604395597</v>
      </c>
      <c r="BE77" s="67">
        <f t="shared" si="11"/>
        <v>976.04395604395597</v>
      </c>
      <c r="BF77" s="67"/>
      <c r="BG77" s="66"/>
      <c r="BH77" s="68">
        <f t="shared" si="8"/>
        <v>0</v>
      </c>
      <c r="BI77" s="67"/>
      <c r="BJ77" s="1">
        <f>IF(BC77=0,"",('All Data'!Z77-'[1]DCDC Ref'!$J$28*('[1]DCDC Ref'!$J$29/100))/'[1]DCDC Ref'!$J$28*('[1]DCDC Ref'!$J$29/100)*100)</f>
        <v>-45.310344827586221</v>
      </c>
      <c r="BK77" s="68">
        <f t="shared" si="9"/>
        <v>10000</v>
      </c>
      <c r="BL77" s="68"/>
      <c r="BM77" s="68"/>
      <c r="BN77" s="68"/>
      <c r="BO77" s="68"/>
      <c r="BQ77" s="5">
        <f t="shared" si="12"/>
        <v>4930219.7802197803</v>
      </c>
      <c r="BR77" s="5">
        <f>IF(BQ77="","",RANK(BQ77,BQ$11:BQ$9930,1)+COUNTIF(BQ$11:BQ77,BQ77)-1)</f>
        <v>88</v>
      </c>
      <c r="BS77" s="69">
        <f t="shared" si="10"/>
        <v>88</v>
      </c>
      <c r="BT77" s="1" t="str">
        <f>IFERROR(INDEX($O$11:$O$1013,MATCH(ROWS($BS$11:BS77),$BS$11:$BS$1005,0)),"")</f>
        <v>ETQP6M3R3YLC</v>
      </c>
      <c r="BU77" s="69" t="str">
        <f t="shared" si="13"/>
        <v>ETQP6M3R3YLC</v>
      </c>
    </row>
    <row r="78" spans="1:73" ht="15">
      <c r="A78" s="1">
        <v>64</v>
      </c>
      <c r="B78" s="28" t="s">
        <v>109</v>
      </c>
      <c r="D78" s="1" t="s">
        <v>110</v>
      </c>
      <c r="E78" s="58"/>
      <c r="F78" s="1" t="s">
        <v>111</v>
      </c>
      <c r="G78" s="2" t="s">
        <v>112</v>
      </c>
      <c r="H78" s="1" t="s">
        <v>113</v>
      </c>
      <c r="I78" s="2" t="s">
        <v>114</v>
      </c>
      <c r="J78" s="1" t="s">
        <v>115</v>
      </c>
      <c r="K78" s="1" t="s">
        <v>134</v>
      </c>
      <c r="L78" s="1" t="s">
        <v>164</v>
      </c>
      <c r="M78" s="1" t="s">
        <v>165</v>
      </c>
      <c r="N78" s="1" t="s">
        <v>119</v>
      </c>
      <c r="O78" s="59" t="s">
        <v>324</v>
      </c>
      <c r="P78" s="60" t="str">
        <f>MID(All_PCC_a[[#This Row],[Part Number]],7,3)</f>
        <v>6R8</v>
      </c>
      <c r="Q78" s="61">
        <v>6.8</v>
      </c>
      <c r="R78" s="61" t="str">
        <f>IF(All_PCC_a[[#This Row],[Lo (uH)]]&lt;1,"&lt;1",IF(All_PCC_a[[#This Row],[Lo (uH)]]&lt;10,"&lt;10",IF(All_PCC_a[[#This Row],[Lo (uH)]]&lt;100,"&lt;100",IF(All_PCC_a[[#This Row],[Lo (uH)]]&lt;2000,"&lt;2000",""))))</f>
        <v>&lt;10</v>
      </c>
      <c r="S78" s="61" t="str">
        <f>IFERROR(VLOOKUP(All_PCC_a[[#This Row],[Lo (uH)]],[1]Utility!$D$5:$E$43,2,1),"-")</f>
        <v>≤   7</v>
      </c>
      <c r="T78" s="62">
        <v>0.2</v>
      </c>
      <c r="U78" s="99">
        <v>45.6</v>
      </c>
      <c r="V78" s="99">
        <v>50.16</v>
      </c>
      <c r="W78" s="1">
        <v>10</v>
      </c>
      <c r="X78" s="61">
        <v>4.5</v>
      </c>
      <c r="Y78" s="1">
        <v>3.6</v>
      </c>
      <c r="Z78" s="100">
        <v>8.1</v>
      </c>
      <c r="AA78" s="61">
        <v>5.48</v>
      </c>
      <c r="AB78" s="1">
        <v>6.4</v>
      </c>
      <c r="AC78" s="1">
        <v>6</v>
      </c>
      <c r="AD78" s="61">
        <v>3</v>
      </c>
      <c r="AE78" s="1">
        <f>ROUND(All_PCC_a[[#This Row],[L (mm)]]*All_PCC_a[[#This Row],[W (mm)]],1)</f>
        <v>38.4</v>
      </c>
      <c r="AF78" s="61" t="str">
        <f>All_PCC_a[[#This Row],[L (mm)]]&amp;"  x  "&amp;All_PCC_a[[#This Row],[W (mm)]]</f>
        <v>6,4  x  6</v>
      </c>
      <c r="AG78" s="65" t="s">
        <v>156</v>
      </c>
      <c r="AH78" s="61" t="str">
        <f>IF(All_PCC_a[[#This Row],[Max Height (mm)]]&lt;=9,"≤ "&amp;ROUNDUP(AD78,0),"≤"&amp;ROUNDUP(AD78,0))</f>
        <v>≤ 3</v>
      </c>
      <c r="AI78" s="1">
        <v>-55</v>
      </c>
      <c r="AJ78" s="1">
        <v>155</v>
      </c>
      <c r="AK78" s="1" t="str">
        <f>All_PCC_a[[#This Row],[Min Temp (deg.C)]]&amp;" to +"&amp;All_PCC_a[[#This Row],[Max Temp (deg.C)]]</f>
        <v>-55 to +155</v>
      </c>
      <c r="AL78" s="1"/>
      <c r="AO78" s="1" t="s">
        <v>122</v>
      </c>
      <c r="AP78" s="61" t="str">
        <f t="shared" ref="AP78:AP109" si="14">IFERROR(IF(L1Round&gt;1,ROUND(L1Round,1),L1Round),"-")</f>
        <v>-</v>
      </c>
      <c r="AQ78" s="1" t="s">
        <v>122</v>
      </c>
      <c r="AR78" s="61" t="s">
        <v>122</v>
      </c>
      <c r="AS78" s="1" t="s">
        <v>325</v>
      </c>
      <c r="AT78" s="1" t="s">
        <v>140</v>
      </c>
      <c r="AU78" s="1" t="e" vm="1">
        <f ca="1">_xlfn.IMAGE(All_PCC_a[[#This Row],[Image URL]])</f>
        <v>#NAME?</v>
      </c>
      <c r="AW78" s="1"/>
      <c r="AY78" s="1"/>
      <c r="BC78" s="1">
        <f>IF(Z78&lt;('[1]DCDC Ref'!$J$24/'[1]DCDC Ref'!$J$26)*'[1]DCDC Ref'!$J$28/100,0,1)</f>
        <v>1</v>
      </c>
      <c r="BD78" s="66">
        <f>IF(BC78=1000000000,"",('All Data'!Q78-'[1]DCDC Ref'!$J$30)/'[1]DCDC Ref'!$J$30*100)</f>
        <v>976.04395604395597</v>
      </c>
      <c r="BE78" s="67">
        <f t="shared" si="11"/>
        <v>976.04395604395597</v>
      </c>
      <c r="BF78" s="67"/>
      <c r="BG78" s="66"/>
      <c r="BH78" s="68">
        <f t="shared" si="8"/>
        <v>0</v>
      </c>
      <c r="BI78" s="67"/>
      <c r="BJ78" s="1">
        <f>IF(BC78=0,"",('All Data'!Z78-'[1]DCDC Ref'!$J$28*('[1]DCDC Ref'!$J$29/100))/'[1]DCDC Ref'!$J$28*('[1]DCDC Ref'!$J$29/100)*100)</f>
        <v>-27.379310344827594</v>
      </c>
      <c r="BK78" s="68">
        <f t="shared" si="9"/>
        <v>10000</v>
      </c>
      <c r="BL78" s="68"/>
      <c r="BM78" s="68"/>
      <c r="BN78" s="68"/>
      <c r="BO78" s="68"/>
      <c r="BQ78" s="5">
        <f t="shared" si="12"/>
        <v>4930219.7802197803</v>
      </c>
      <c r="BR78" s="5">
        <f>IF(BQ78="","",RANK(BQ78,BQ$11:BQ$9930,1)+COUNTIF(BQ$11:BQ78,BQ78)-1)</f>
        <v>89</v>
      </c>
      <c r="BS78" s="69">
        <f t="shared" si="10"/>
        <v>89</v>
      </c>
      <c r="BT78" s="1" t="str">
        <f>IFERROR(INDEX($O$11:$O$1013,MATCH(ROWS($BS$11:BS78),$BS$11:$BS$1005,0)),"")</f>
        <v>ETQP8M3R3JFA</v>
      </c>
      <c r="BU78" s="69" t="str">
        <f t="shared" si="13"/>
        <v>ETQP8M3R3JFA</v>
      </c>
    </row>
    <row r="79" spans="1:73" ht="15">
      <c r="A79" s="1">
        <v>75</v>
      </c>
      <c r="B79" s="28" t="s">
        <v>109</v>
      </c>
      <c r="D79" s="1" t="s">
        <v>110</v>
      </c>
      <c r="E79" s="58"/>
      <c r="F79" s="1" t="s">
        <v>111</v>
      </c>
      <c r="G79" s="2" t="s">
        <v>112</v>
      </c>
      <c r="H79" s="1" t="s">
        <v>113</v>
      </c>
      <c r="I79" s="2" t="s">
        <v>114</v>
      </c>
      <c r="J79" s="1" t="s">
        <v>115</v>
      </c>
      <c r="K79" s="1" t="s">
        <v>134</v>
      </c>
      <c r="L79" s="1" t="s">
        <v>168</v>
      </c>
      <c r="M79" s="1" t="s">
        <v>169</v>
      </c>
      <c r="N79" s="1" t="s">
        <v>119</v>
      </c>
      <c r="O79" s="59" t="s">
        <v>326</v>
      </c>
      <c r="P79" s="60" t="str">
        <f>MID(All_PCC_a[[#This Row],[Part Number]],7,3)</f>
        <v>6R8</v>
      </c>
      <c r="Q79" s="61">
        <v>6.8</v>
      </c>
      <c r="R79" s="61" t="str">
        <f>IF(All_PCC_a[[#This Row],[Lo (uH)]]&lt;1,"&lt;1",IF(All_PCC_a[[#This Row],[Lo (uH)]]&lt;10,"&lt;10",IF(All_PCC_a[[#This Row],[Lo (uH)]]&lt;100,"&lt;100",IF(All_PCC_a[[#This Row],[Lo (uH)]]&lt;2000,"&lt;2000",""))))</f>
        <v>&lt;10</v>
      </c>
      <c r="S79" s="61" t="str">
        <f>IFERROR(VLOOKUP(All_PCC_a[[#This Row],[Lo (uH)]],[1]Utility!$D$5:$E$43,2,1),"-")</f>
        <v>≤   7</v>
      </c>
      <c r="T79" s="62">
        <v>0.2</v>
      </c>
      <c r="U79" s="63">
        <v>23.5</v>
      </c>
      <c r="V79" s="63">
        <v>25.85</v>
      </c>
      <c r="W79" s="61">
        <v>10</v>
      </c>
      <c r="X79" s="61">
        <v>6.9</v>
      </c>
      <c r="Y79" s="61">
        <v>5.9</v>
      </c>
      <c r="Z79" s="64">
        <v>11</v>
      </c>
      <c r="AA79" s="61">
        <v>7.59</v>
      </c>
      <c r="AB79" s="1">
        <v>8.4</v>
      </c>
      <c r="AC79" s="1">
        <v>8</v>
      </c>
      <c r="AD79" s="61">
        <v>4</v>
      </c>
      <c r="AE79" s="1">
        <f>ROUND(All_PCC_a[[#This Row],[L (mm)]]*All_PCC_a[[#This Row],[W (mm)]],1)</f>
        <v>67.2</v>
      </c>
      <c r="AF79" s="61" t="str">
        <f>All_PCC_a[[#This Row],[L (mm)]]&amp;"  x  "&amp;All_PCC_a[[#This Row],[W (mm)]]</f>
        <v>8,4  x  8</v>
      </c>
      <c r="AG79" s="76" t="s">
        <v>171</v>
      </c>
      <c r="AH79" s="61" t="str">
        <f>IF(All_PCC_a[[#This Row],[Max Height (mm)]]&lt;=9,"≤ "&amp;ROUNDUP(AD79,0),"≤"&amp;ROUNDUP(AD79,0))</f>
        <v>≤ 4</v>
      </c>
      <c r="AI79" s="1">
        <v>-55</v>
      </c>
      <c r="AJ79" s="1">
        <v>155</v>
      </c>
      <c r="AK79" s="1" t="str">
        <f>All_PCC_a[[#This Row],[Min Temp (deg.C)]]&amp;" to +"&amp;All_PCC_a[[#This Row],[Max Temp (deg.C)]]</f>
        <v>-55 to +155</v>
      </c>
      <c r="AL79" s="1"/>
      <c r="AO79" s="61" t="s">
        <v>122</v>
      </c>
      <c r="AP79" s="61" t="str">
        <f t="shared" si="14"/>
        <v>-</v>
      </c>
      <c r="AQ79" s="61" t="s">
        <v>122</v>
      </c>
      <c r="AR79" s="61" t="s">
        <v>122</v>
      </c>
      <c r="AS79" s="1" t="s">
        <v>327</v>
      </c>
      <c r="AT79" s="1" t="s">
        <v>140</v>
      </c>
      <c r="AU79" s="1" t="e" vm="1">
        <f ca="1">_xlfn.IMAGE(All_PCC_a[[#This Row],[Image URL]])</f>
        <v>#NAME?</v>
      </c>
      <c r="AW79" s="1"/>
      <c r="AY79" s="1"/>
      <c r="BC79" s="1">
        <f>IF(Z79&lt;('[1]DCDC Ref'!$J$24/'[1]DCDC Ref'!$J$26)*'[1]DCDC Ref'!$J$28/100,0,1)</f>
        <v>1</v>
      </c>
      <c r="BD79" s="66">
        <f>IF(BC79=1000000000,"",('All Data'!Q79-'[1]DCDC Ref'!$J$30)/'[1]DCDC Ref'!$J$30*100)</f>
        <v>976.04395604395597</v>
      </c>
      <c r="BE79" s="67">
        <f t="shared" si="11"/>
        <v>976.04395604395597</v>
      </c>
      <c r="BF79" s="67"/>
      <c r="BG79" s="66"/>
      <c r="BH79" s="68">
        <f t="shared" si="8"/>
        <v>0</v>
      </c>
      <c r="BI79" s="67"/>
      <c r="BJ79" s="1">
        <f>IF(BC79=0,"",('All Data'!Z79-'[1]DCDC Ref'!$J$28*('[1]DCDC Ref'!$J$29/100))/'[1]DCDC Ref'!$J$28*('[1]DCDC Ref'!$J$29/100)*100)</f>
        <v>-1.3793103448275972</v>
      </c>
      <c r="BK79" s="68">
        <f t="shared" si="9"/>
        <v>10000</v>
      </c>
      <c r="BL79" s="68"/>
      <c r="BM79" s="68"/>
      <c r="BN79" s="68"/>
      <c r="BO79" s="68"/>
      <c r="BQ79" s="5">
        <f t="shared" si="12"/>
        <v>4930219.7802197803</v>
      </c>
      <c r="BR79" s="5">
        <f>IF(BQ79="","",RANK(BQ79,BQ$11:BQ$9930,1)+COUNTIF(BQ$11:BQ79,BQ79)-1)</f>
        <v>90</v>
      </c>
      <c r="BS79" s="69">
        <f t="shared" si="10"/>
        <v>90</v>
      </c>
      <c r="BT79" s="1" t="str">
        <f>IFERROR(INDEX($O$11:$O$1013,MATCH(ROWS($BS$11:BS79),$BS$11:$BS$1005,0)),"")</f>
        <v>ETQPAM3R3JFW</v>
      </c>
      <c r="BU79" s="69" t="str">
        <f t="shared" si="13"/>
        <v>ETQPAM3R3JFW</v>
      </c>
    </row>
    <row r="80" spans="1:73" ht="15">
      <c r="A80" s="1">
        <v>87</v>
      </c>
      <c r="B80" s="28" t="s">
        <v>109</v>
      </c>
      <c r="D80" s="1" t="s">
        <v>110</v>
      </c>
      <c r="E80" s="58"/>
      <c r="F80" s="1" t="s">
        <v>111</v>
      </c>
      <c r="G80" s="2" t="s">
        <v>112</v>
      </c>
      <c r="H80" s="1" t="s">
        <v>113</v>
      </c>
      <c r="I80" s="2" t="s">
        <v>114</v>
      </c>
      <c r="J80" s="1" t="s">
        <v>115</v>
      </c>
      <c r="K80" s="1" t="s">
        <v>134</v>
      </c>
      <c r="L80" s="1" t="s">
        <v>191</v>
      </c>
      <c r="M80" s="1" t="s">
        <v>192</v>
      </c>
      <c r="N80" s="1" t="s">
        <v>119</v>
      </c>
      <c r="O80" s="59" t="s">
        <v>328</v>
      </c>
      <c r="P80" s="60" t="str">
        <f>MID(All_PCC_a[[#This Row],[Part Number]],7,3)</f>
        <v>6R8</v>
      </c>
      <c r="Q80" s="61">
        <v>6.8</v>
      </c>
      <c r="R80" s="61" t="str">
        <f>IF(All_PCC_a[[#This Row],[Lo (uH)]]&lt;1,"&lt;1",IF(All_PCC_a[[#This Row],[Lo (uH)]]&lt;10,"&lt;10",IF(All_PCC_a[[#This Row],[Lo (uH)]]&lt;100,"&lt;100",IF(All_PCC_a[[#This Row],[Lo (uH)]]&lt;2000,"&lt;2000",""))))</f>
        <v>&lt;10</v>
      </c>
      <c r="S80" s="61" t="str">
        <f>IFERROR(VLOOKUP(All_PCC_a[[#This Row],[Lo (uH)]],[1]Utility!$D$5:$E$43,2,1),"-")</f>
        <v>≤   7</v>
      </c>
      <c r="T80" s="62">
        <v>0.2</v>
      </c>
      <c r="U80" s="63">
        <v>18.5</v>
      </c>
      <c r="V80" s="63">
        <v>20.350000000000001</v>
      </c>
      <c r="W80" s="61">
        <v>10</v>
      </c>
      <c r="X80" s="61">
        <v>8.9</v>
      </c>
      <c r="Y80" s="86">
        <v>7.4</v>
      </c>
      <c r="Z80" s="87">
        <v>12.1</v>
      </c>
      <c r="AA80" s="61">
        <v>8.92</v>
      </c>
      <c r="AB80" s="1">
        <v>10.7</v>
      </c>
      <c r="AC80" s="1">
        <v>10</v>
      </c>
      <c r="AD80" s="61">
        <v>4</v>
      </c>
      <c r="AE80" s="1">
        <f>ROUND(All_PCC_a[[#This Row],[L (mm)]]*All_PCC_a[[#This Row],[W (mm)]],1)</f>
        <v>107</v>
      </c>
      <c r="AF80" s="61" t="str">
        <f>All_PCC_a[[#This Row],[L (mm)]]&amp;"  x  "&amp;All_PCC_a[[#This Row],[W (mm)]]</f>
        <v>10,7  x  10</v>
      </c>
      <c r="AG80" s="65" t="s">
        <v>121</v>
      </c>
      <c r="AH80" s="61" t="str">
        <f>IF(All_PCC_a[[#This Row],[Max Height (mm)]]&lt;=9,"≤ "&amp;ROUNDUP(AD80,0),"≤"&amp;ROUNDUP(AD80,0))</f>
        <v>≤ 4</v>
      </c>
      <c r="AI80" s="1">
        <v>-55</v>
      </c>
      <c r="AJ80" s="1">
        <v>155</v>
      </c>
      <c r="AK80" s="1" t="str">
        <f>All_PCC_a[[#This Row],[Min Temp (deg.C)]]&amp;" to +"&amp;All_PCC_a[[#This Row],[Max Temp (deg.C)]]</f>
        <v>-55 to +155</v>
      </c>
      <c r="AL80" s="1"/>
      <c r="AO80" s="61" t="s">
        <v>122</v>
      </c>
      <c r="AP80" s="61" t="str">
        <f t="shared" si="14"/>
        <v>-</v>
      </c>
      <c r="AQ80" s="61" t="s">
        <v>122</v>
      </c>
      <c r="AR80" s="61" t="s">
        <v>122</v>
      </c>
      <c r="AS80" s="1" t="s">
        <v>329</v>
      </c>
      <c r="AT80" s="1" t="s">
        <v>140</v>
      </c>
      <c r="AU80" s="1" t="e" vm="1">
        <f ca="1">_xlfn.IMAGE(All_PCC_a[[#This Row],[Image URL]])</f>
        <v>#NAME?</v>
      </c>
      <c r="AW80" s="1"/>
      <c r="AY80" s="1"/>
      <c r="BC80" s="1">
        <f>IF(Z80&lt;('[1]DCDC Ref'!$J$24/'[1]DCDC Ref'!$J$26)*'[1]DCDC Ref'!$J$28/100,0,1)</f>
        <v>1</v>
      </c>
      <c r="BD80" s="66">
        <f>IF(BC80=1000000000,"",('All Data'!Q80-'[1]DCDC Ref'!$J$30)/'[1]DCDC Ref'!$J$30*100)</f>
        <v>976.04395604395597</v>
      </c>
      <c r="BE80" s="67">
        <f t="shared" si="11"/>
        <v>976.04395604395597</v>
      </c>
      <c r="BF80" s="67"/>
      <c r="BG80" s="66"/>
      <c r="BH80" s="68">
        <f t="shared" si="8"/>
        <v>0</v>
      </c>
      <c r="BI80" s="67"/>
      <c r="BJ80" s="1">
        <f>IF(BC80=0,"",('All Data'!Z80-'[1]DCDC Ref'!$J$28*('[1]DCDC Ref'!$J$29/100))/'[1]DCDC Ref'!$J$28*('[1]DCDC Ref'!$J$29/100)*100)</f>
        <v>8.4827586206896406</v>
      </c>
      <c r="BK80" s="68">
        <f t="shared" si="9"/>
        <v>8.4827586206896406</v>
      </c>
      <c r="BL80" s="68"/>
      <c r="BM80" s="68"/>
      <c r="BN80" s="68"/>
      <c r="BO80" s="68"/>
      <c r="BQ80" s="5">
        <f t="shared" si="12"/>
        <v>4880262.1940128841</v>
      </c>
      <c r="BR80" s="5">
        <f>IF(BQ80="","",RANK(BQ80,BQ$11:BQ$9930,1)+COUNTIF(BQ$11:BQ80,BQ80)-1)</f>
        <v>85</v>
      </c>
      <c r="BS80" s="69">
        <f t="shared" si="10"/>
        <v>85</v>
      </c>
      <c r="BT80" s="1" t="str">
        <f>IFERROR(INDEX($O$11:$O$1013,MATCH(ROWS($BS$11:BS80),$BS$11:$BS$1005,0)),"")</f>
        <v>ETQP3M3R3YFP</v>
      </c>
      <c r="BU80" s="69" t="str">
        <f t="shared" si="13"/>
        <v>ETQP3M3R3YFP</v>
      </c>
    </row>
    <row r="81" spans="1:73">
      <c r="A81" s="1">
        <v>114</v>
      </c>
      <c r="B81" s="28" t="s">
        <v>109</v>
      </c>
      <c r="C81" s="1" t="s">
        <v>330</v>
      </c>
      <c r="D81" s="1" t="s">
        <v>110</v>
      </c>
      <c r="E81" s="78"/>
      <c r="F81" s="1" t="s">
        <v>111</v>
      </c>
      <c r="G81" s="2" t="s">
        <v>112</v>
      </c>
      <c r="H81" s="1" t="s">
        <v>113</v>
      </c>
      <c r="I81" s="2" t="s">
        <v>114</v>
      </c>
      <c r="J81" s="1" t="s">
        <v>115</v>
      </c>
      <c r="K81" s="1" t="s">
        <v>273</v>
      </c>
      <c r="L81" s="1" t="s">
        <v>274</v>
      </c>
      <c r="M81" s="1" t="s">
        <v>275</v>
      </c>
      <c r="N81" s="1" t="s">
        <v>119</v>
      </c>
      <c r="O81" s="59" t="s">
        <v>331</v>
      </c>
      <c r="P81" s="60" t="str">
        <f>MID(All_PCC_a[[#This Row],[Part Number]],7,3)</f>
        <v>6R8</v>
      </c>
      <c r="Q81" s="61">
        <v>6.8</v>
      </c>
      <c r="R81" s="71" t="str">
        <f>IF(All_PCC_a[[#This Row],[Lo (uH)]]&lt;1,"&lt;1",IF(All_PCC_a[[#This Row],[Lo (uH)]]&lt;10,"&lt;10",IF(All_PCC_a[[#This Row],[Lo (uH)]]&lt;100,"&lt;100",IF(All_PCC_a[[#This Row],[Lo (uH)]]&lt;2000,"&lt;2000",""))))</f>
        <v>&lt;10</v>
      </c>
      <c r="S81" s="61" t="str">
        <f>IFERROR(VLOOKUP(All_PCC_a[[#This Row],[Lo (uH)]],[1]Utility!$D$5:$E$43,2,1),"-")</f>
        <v>≤   7</v>
      </c>
      <c r="T81" s="62">
        <v>0.2</v>
      </c>
      <c r="U81" s="70">
        <v>32.1</v>
      </c>
      <c r="V81" s="70">
        <v>35.31</v>
      </c>
      <c r="W81" s="61">
        <v>10</v>
      </c>
      <c r="X81" s="71">
        <v>5.9</v>
      </c>
      <c r="Y81" s="61">
        <v>4.5999999999999996</v>
      </c>
      <c r="Z81" s="64">
        <v>9.9</v>
      </c>
      <c r="AA81" s="61">
        <v>7.1</v>
      </c>
      <c r="AB81" s="1">
        <v>6.4</v>
      </c>
      <c r="AC81" s="1">
        <v>6</v>
      </c>
      <c r="AD81" s="61">
        <v>4.8</v>
      </c>
      <c r="AE81" s="1">
        <f>ROUND(All_PCC_a[[#This Row],[L (mm)]]*All_PCC_a[[#This Row],[W (mm)]],1)</f>
        <v>38.4</v>
      </c>
      <c r="AF81" s="61" t="str">
        <f>All_PCC_a[[#This Row],[L (mm)]]&amp;"  x  "&amp;All_PCC_a[[#This Row],[W (mm)]]</f>
        <v>6,4  x  6</v>
      </c>
      <c r="AG81" s="65" t="s">
        <v>156</v>
      </c>
      <c r="AH81" s="61" t="str">
        <f>IF(All_PCC_a[[#This Row],[Max Height (mm)]]&lt;=9,"≤ "&amp;ROUNDUP(AD81,0),"≤"&amp;ROUNDUP(AD81,0))</f>
        <v>≤ 5</v>
      </c>
      <c r="AI81" s="1">
        <v>-40</v>
      </c>
      <c r="AJ81" s="1">
        <v>150</v>
      </c>
      <c r="AK81" s="1" t="str">
        <f>All_PCC_a[[#This Row],[Min Temp (deg.C)]]&amp;" to +"&amp;All_PCC_a[[#This Row],[Max Temp (deg.C)]]</f>
        <v>-40 to +150</v>
      </c>
      <c r="AL81" s="1"/>
      <c r="AO81" s="61" t="s">
        <v>122</v>
      </c>
      <c r="AP81" s="71" t="str">
        <f t="shared" si="14"/>
        <v>-</v>
      </c>
      <c r="AQ81" s="61" t="s">
        <v>122</v>
      </c>
      <c r="AR81" s="61" t="s">
        <v>122</v>
      </c>
      <c r="AS81" s="1" t="s">
        <v>332</v>
      </c>
      <c r="AT81" s="1" t="s">
        <v>278</v>
      </c>
      <c r="AU81" s="1" t="e" vm="1">
        <f ca="1">_xlfn.IMAGE(All_PCC_a[[#This Row],[Image URL]])</f>
        <v>#NAME?</v>
      </c>
      <c r="AW81" s="1"/>
      <c r="AY81" s="1"/>
      <c r="BC81" s="1">
        <f>IF(Z81&lt;('[1]DCDC Ref'!$J$24/'[1]DCDC Ref'!$J$26)*'[1]DCDC Ref'!$J$28/100,0,1)</f>
        <v>1</v>
      </c>
      <c r="BD81" s="66">
        <f>IF(BC81=1000000000,"",('All Data'!Q81-'[1]DCDC Ref'!$J$30)/'[1]DCDC Ref'!$J$30*100)</f>
        <v>976.04395604395597</v>
      </c>
      <c r="BE81" s="67">
        <f t="shared" si="11"/>
        <v>976.04395604395597</v>
      </c>
      <c r="BF81" s="67"/>
      <c r="BG81" s="66"/>
      <c r="BH81" s="68">
        <f t="shared" si="8"/>
        <v>0</v>
      </c>
      <c r="BI81" s="67"/>
      <c r="BJ81" s="1">
        <f>IF(BC81=0,"",('All Data'!Z81-'[1]DCDC Ref'!$J$28*('[1]DCDC Ref'!$J$29/100))/'[1]DCDC Ref'!$J$28*('[1]DCDC Ref'!$J$29/100)*100)</f>
        <v>-11.241379310344835</v>
      </c>
      <c r="BK81" s="68">
        <f t="shared" si="9"/>
        <v>10000</v>
      </c>
      <c r="BL81" s="68"/>
      <c r="BM81" s="68"/>
      <c r="BN81" s="68"/>
      <c r="BO81" s="68"/>
      <c r="BQ81" s="5">
        <f t="shared" si="12"/>
        <v>4930219.7802197803</v>
      </c>
      <c r="BR81" s="5">
        <f>IF(BQ81="","",RANK(BQ81,BQ$11:BQ$9930,1)+COUNTIF(BQ$11:BQ81,BQ81)-1)</f>
        <v>91</v>
      </c>
      <c r="BS81" s="69">
        <f t="shared" si="10"/>
        <v>91</v>
      </c>
      <c r="BT81" s="1" t="str">
        <f>IFERROR(INDEX($O$11:$O$1013,MATCH(ROWS($BS$11:BS81),$BS$11:$BS$1005,0)),"")</f>
        <v>ETQP3M3R3KVP</v>
      </c>
      <c r="BU81" s="69" t="str">
        <f t="shared" si="13"/>
        <v>ETQP3M3R3KVP</v>
      </c>
    </row>
    <row r="82" spans="1:73">
      <c r="A82" s="1">
        <v>5</v>
      </c>
      <c r="B82" s="28" t="s">
        <v>109</v>
      </c>
      <c r="D82" s="1" t="s">
        <v>110</v>
      </c>
      <c r="E82" s="58"/>
      <c r="F82" s="1" t="s">
        <v>111</v>
      </c>
      <c r="G82" s="2" t="s">
        <v>112</v>
      </c>
      <c r="H82" s="1" t="s">
        <v>113</v>
      </c>
      <c r="I82" s="2" t="s">
        <v>114</v>
      </c>
      <c r="J82" s="1" t="s">
        <v>115</v>
      </c>
      <c r="K82" s="1" t="s">
        <v>116</v>
      </c>
      <c r="L82" s="1" t="s">
        <v>236</v>
      </c>
      <c r="M82" s="1" t="s">
        <v>254</v>
      </c>
      <c r="N82" s="1" t="s">
        <v>154</v>
      </c>
      <c r="O82" s="59" t="s">
        <v>333</v>
      </c>
      <c r="P82" s="60" t="str">
        <f>MID(All_PCC_a[[#This Row],[Part Number]],7,3)</f>
        <v>100</v>
      </c>
      <c r="Q82" s="85">
        <v>10</v>
      </c>
      <c r="R82" s="61" t="str">
        <f>IF(All_PCC_a[[#This Row],[Lo (uH)]]&lt;1,"&lt;1",IF(All_PCC_a[[#This Row],[Lo (uH)]]&lt;10,"&lt;10",IF(All_PCC_a[[#This Row],[Lo (uH)]]&lt;100,"&lt;100",IF(All_PCC_a[[#This Row],[Lo (uH)]]&lt;2000,"&lt;2000",""))))</f>
        <v>&lt;100</v>
      </c>
      <c r="S82" s="61" t="str">
        <f>IFERROR(VLOOKUP(All_PCC_a[[#This Row],[Lo (uH)]],[1]Utility!$D$5:$E$43,2,1),"-")</f>
        <v>≤  10</v>
      </c>
      <c r="T82" s="62">
        <v>0.2</v>
      </c>
      <c r="U82" s="70">
        <v>54.2</v>
      </c>
      <c r="V82" s="70">
        <v>59.620000000000005</v>
      </c>
      <c r="W82" s="61">
        <v>10</v>
      </c>
      <c r="X82" s="61">
        <v>4.5</v>
      </c>
      <c r="Y82" s="61">
        <v>3.5</v>
      </c>
      <c r="Z82" s="64">
        <v>8.3000000000000007</v>
      </c>
      <c r="AA82" s="61">
        <v>5.77</v>
      </c>
      <c r="AB82" s="1">
        <v>6.5</v>
      </c>
      <c r="AC82" s="1">
        <v>6</v>
      </c>
      <c r="AD82" s="61">
        <v>4.5</v>
      </c>
      <c r="AE82" s="1">
        <f>ROUND(All_PCC_a[[#This Row],[L (mm)]]*All_PCC_a[[#This Row],[W (mm)]],1)</f>
        <v>39</v>
      </c>
      <c r="AF82" s="61" t="str">
        <f>All_PCC_a[[#This Row],[L (mm)]]&amp;"  x  "&amp;All_PCC_a[[#This Row],[W (mm)]]</f>
        <v>6,5  x  6</v>
      </c>
      <c r="AG82" s="76" t="s">
        <v>156</v>
      </c>
      <c r="AH82" s="61" t="str">
        <f>IF(All_PCC_a[[#This Row],[Max Height (mm)]]&lt;=9,"≤ "&amp;ROUNDUP(AD82,0),"≤"&amp;ROUNDUP(AD82,0))</f>
        <v>≤ 5</v>
      </c>
      <c r="AI82" s="11">
        <v>-40</v>
      </c>
      <c r="AJ82" s="11">
        <v>150</v>
      </c>
      <c r="AK82" s="1" t="str">
        <f>All_PCC_a[[#This Row],[Min Temp (deg.C)]]&amp;" to +"&amp;All_PCC_a[[#This Row],[Max Temp (deg.C)]]</f>
        <v>-40 to +150</v>
      </c>
      <c r="AL82" s="1"/>
      <c r="AO82" s="61" t="s">
        <v>144</v>
      </c>
      <c r="AP82" s="61" t="str">
        <f t="shared" si="14"/>
        <v>-</v>
      </c>
      <c r="AQ82" s="62" t="s">
        <v>122</v>
      </c>
      <c r="AR82" s="61" t="s">
        <v>122</v>
      </c>
      <c r="AS82" s="1" t="s">
        <v>334</v>
      </c>
      <c r="AT82" s="1" t="s">
        <v>124</v>
      </c>
      <c r="AU82" s="1" t="e" vm="1">
        <f ca="1">_xlfn.IMAGE(All_PCC_a[[#This Row],[Image URL]])</f>
        <v>#NAME?</v>
      </c>
      <c r="AW82" s="1"/>
      <c r="AY82" s="1"/>
      <c r="BC82" s="1">
        <f>IF(Z82&lt;('[1]DCDC Ref'!$J$24/'[1]DCDC Ref'!$J$26)*'[1]DCDC Ref'!$J$28/100,0,1)</f>
        <v>1</v>
      </c>
      <c r="BD82" s="66">
        <f>IF(BC82=1000000000,"",('All Data'!Q82-'[1]DCDC Ref'!$J$30)/'[1]DCDC Ref'!$J$30*100)</f>
        <v>1482.4175824175825</v>
      </c>
      <c r="BE82" s="67">
        <f t="shared" si="11"/>
        <v>1482.4175824175825</v>
      </c>
      <c r="BF82" s="67"/>
      <c r="BG82" s="66"/>
      <c r="BH82" s="68">
        <f t="shared" si="8"/>
        <v>0</v>
      </c>
      <c r="BI82" s="67"/>
      <c r="BJ82" s="1">
        <f>IF(BC82=0,"",('All Data'!Z82-'[1]DCDC Ref'!$J$28*('[1]DCDC Ref'!$J$29/100))/'[1]DCDC Ref'!$J$28*('[1]DCDC Ref'!$J$29/100)*100)</f>
        <v>-25.586206896551726</v>
      </c>
      <c r="BK82" s="68">
        <f t="shared" si="9"/>
        <v>10000</v>
      </c>
      <c r="BL82" s="68"/>
      <c r="BM82" s="68"/>
      <c r="BN82" s="68"/>
      <c r="BO82" s="68"/>
      <c r="BQ82" s="5">
        <f t="shared" si="12"/>
        <v>7462087.9120879127</v>
      </c>
      <c r="BR82" s="5">
        <f>IF(BQ82="","",RANK(BQ82,BQ$11:BQ$9930,1)+COUNTIF(BQ$11:BQ82,BQ82)-1)</f>
        <v>94</v>
      </c>
      <c r="BS82" s="69">
        <f t="shared" si="10"/>
        <v>94</v>
      </c>
      <c r="BT82" s="1" t="str">
        <f>IFERROR(INDEX($O$11:$O$1013,MATCH(ROWS($BS$11:BS82),$BS$11:$BS$1005,0)),"")</f>
        <v>ETQP5M4R7YFM</v>
      </c>
      <c r="BU82" s="69" t="str">
        <f t="shared" si="13"/>
        <v>ETQP5M4R7YFM</v>
      </c>
    </row>
    <row r="83" spans="1:73" ht="15">
      <c r="A83" s="1">
        <v>17</v>
      </c>
      <c r="B83" s="28" t="s">
        <v>109</v>
      </c>
      <c r="D83" s="1" t="s">
        <v>110</v>
      </c>
      <c r="E83" s="58"/>
      <c r="F83" s="1" t="s">
        <v>111</v>
      </c>
      <c r="G83" s="2" t="s">
        <v>112</v>
      </c>
      <c r="H83" s="1" t="s">
        <v>113</v>
      </c>
      <c r="I83" s="2" t="s">
        <v>114</v>
      </c>
      <c r="J83" s="1" t="s">
        <v>115</v>
      </c>
      <c r="K83" s="1" t="s">
        <v>116</v>
      </c>
      <c r="L83" s="1" t="s">
        <v>195</v>
      </c>
      <c r="M83" s="1" t="s">
        <v>196</v>
      </c>
      <c r="N83" s="1" t="s">
        <v>154</v>
      </c>
      <c r="O83" s="59" t="s">
        <v>335</v>
      </c>
      <c r="P83" s="60" t="str">
        <f>MID(All_PCC_a[[#This Row],[Part Number]],7,3)</f>
        <v>100</v>
      </c>
      <c r="Q83" s="61">
        <v>10</v>
      </c>
      <c r="R83" s="61" t="str">
        <f>IF(All_PCC_a[[#This Row],[Lo (uH)]]&lt;1,"&lt;1",IF(All_PCC_a[[#This Row],[Lo (uH)]]&lt;10,"&lt;10",IF(All_PCC_a[[#This Row],[Lo (uH)]]&lt;100,"&lt;100",IF(All_PCC_a[[#This Row],[Lo (uH)]]&lt;2000,"&lt;2000",""))))</f>
        <v>&lt;100</v>
      </c>
      <c r="S83" s="61" t="str">
        <f>IFERROR(VLOOKUP(All_PCC_a[[#This Row],[Lo (uH)]],[1]Utility!$D$5:$E$43,2,1),"-")</f>
        <v>≤  10</v>
      </c>
      <c r="T83" s="62">
        <v>0.2</v>
      </c>
      <c r="U83" s="63">
        <v>23.8</v>
      </c>
      <c r="V83" s="63">
        <v>26.2</v>
      </c>
      <c r="W83" s="61">
        <v>10</v>
      </c>
      <c r="X83" s="61">
        <v>8.5</v>
      </c>
      <c r="Y83" s="61">
        <v>7.1</v>
      </c>
      <c r="Z83" s="64">
        <v>10.7</v>
      </c>
      <c r="AA83" s="61">
        <v>8.8000000000000007</v>
      </c>
      <c r="AB83" s="1">
        <v>10.7</v>
      </c>
      <c r="AC83" s="1">
        <v>10</v>
      </c>
      <c r="AD83" s="61">
        <v>5.4</v>
      </c>
      <c r="AE83" s="1">
        <f>ROUND(All_PCC_a[[#This Row],[L (mm)]]*All_PCC_a[[#This Row],[W (mm)]],1)</f>
        <v>107</v>
      </c>
      <c r="AF83" s="61" t="str">
        <f>All_PCC_a[[#This Row],[L (mm)]]&amp;"  x  "&amp;All_PCC_a[[#This Row],[W (mm)]]</f>
        <v>10,7  x  10</v>
      </c>
      <c r="AG83" s="76" t="s">
        <v>121</v>
      </c>
      <c r="AH83" s="61" t="str">
        <f>IF(All_PCC_a[[#This Row],[Max Height (mm)]]&lt;=9,"≤ "&amp;ROUNDUP(AD83,0),"≤"&amp;ROUNDUP(AD83,0))</f>
        <v>≤ 6</v>
      </c>
      <c r="AI83" s="11">
        <v>-40</v>
      </c>
      <c r="AJ83" s="11">
        <v>150</v>
      </c>
      <c r="AK83" s="1" t="str">
        <f>All_PCC_a[[#This Row],[Min Temp (deg.C)]]&amp;" to +"&amp;All_PCC_a[[#This Row],[Max Temp (deg.C)]]</f>
        <v>-40 to +150</v>
      </c>
      <c r="AL83" s="1"/>
      <c r="AO83" s="61" t="s">
        <v>144</v>
      </c>
      <c r="AP83" s="61" t="str">
        <f t="shared" si="14"/>
        <v>-</v>
      </c>
      <c r="AQ83" s="61" t="s">
        <v>122</v>
      </c>
      <c r="AR83" s="61" t="s">
        <v>122</v>
      </c>
      <c r="AS83" s="1" t="s">
        <v>336</v>
      </c>
      <c r="AT83" s="1" t="s">
        <v>124</v>
      </c>
      <c r="AU83" s="1" t="e" vm="1">
        <f ca="1">_xlfn.IMAGE(All_PCC_a[[#This Row],[Image URL]])</f>
        <v>#NAME?</v>
      </c>
      <c r="AW83" s="1"/>
      <c r="AY83" s="1"/>
      <c r="BC83" s="1">
        <f>IF(Z83&lt;('[1]DCDC Ref'!$J$24/'[1]DCDC Ref'!$J$26)*'[1]DCDC Ref'!$J$28/100,0,1)</f>
        <v>1</v>
      </c>
      <c r="BD83" s="66">
        <f>IF(BC83=1000000000,"",('All Data'!Q83-'[1]DCDC Ref'!$J$30)/'[1]DCDC Ref'!$J$30*100)</f>
        <v>1482.4175824175825</v>
      </c>
      <c r="BE83" s="67">
        <f t="shared" si="11"/>
        <v>1482.4175824175825</v>
      </c>
      <c r="BF83" s="67"/>
      <c r="BG83" s="66"/>
      <c r="BH83" s="68">
        <f t="shared" si="8"/>
        <v>0</v>
      </c>
      <c r="BI83" s="67"/>
      <c r="BJ83" s="1">
        <f>IF(BC83=0,"",('All Data'!Z83-'[1]DCDC Ref'!$J$28*('[1]DCDC Ref'!$J$29/100))/'[1]DCDC Ref'!$J$28*('[1]DCDC Ref'!$J$29/100)*100)</f>
        <v>-4.0689655172413968</v>
      </c>
      <c r="BK83" s="68">
        <f t="shared" si="9"/>
        <v>10000</v>
      </c>
      <c r="BL83" s="68"/>
      <c r="BM83" s="68"/>
      <c r="BN83" s="68"/>
      <c r="BO83" s="68"/>
      <c r="BQ83" s="5">
        <f t="shared" si="12"/>
        <v>7462087.9120879127</v>
      </c>
      <c r="BR83" s="5">
        <f>IF(BQ83="","",RANK(BQ83,BQ$11:BQ$9930,1)+COUNTIF(BQ$11:BQ83,BQ83)-1)</f>
        <v>95</v>
      </c>
      <c r="BS83" s="69">
        <f t="shared" si="10"/>
        <v>95</v>
      </c>
      <c r="BT83" s="1" t="str">
        <f>IFERROR(INDEX($O$11:$O$1013,MATCH(ROWS($BS$11:BS83),$BS$11:$BS$1005,0)),"")</f>
        <v>ETQP4M4R7KVC</v>
      </c>
      <c r="BU83" s="69" t="str">
        <f t="shared" si="13"/>
        <v>ETQP4M4R7KVC</v>
      </c>
    </row>
    <row r="84" spans="1:73" ht="15">
      <c r="A84" s="1">
        <v>25</v>
      </c>
      <c r="B84" s="28" t="s">
        <v>109</v>
      </c>
      <c r="D84" s="1" t="s">
        <v>110</v>
      </c>
      <c r="E84" s="58"/>
      <c r="F84" s="1" t="s">
        <v>111</v>
      </c>
      <c r="G84" s="2" t="s">
        <v>112</v>
      </c>
      <c r="H84" s="1" t="s">
        <v>113</v>
      </c>
      <c r="I84" s="2" t="s">
        <v>114</v>
      </c>
      <c r="J84" s="1" t="s">
        <v>115</v>
      </c>
      <c r="K84" s="1" t="s">
        <v>116</v>
      </c>
      <c r="L84" s="1" t="s">
        <v>246</v>
      </c>
      <c r="M84" s="1" t="s">
        <v>247</v>
      </c>
      <c r="N84" s="1" t="s">
        <v>154</v>
      </c>
      <c r="O84" s="96" t="s">
        <v>337</v>
      </c>
      <c r="P84" s="60" t="str">
        <f>MID(All_PCC_a[[#This Row],[Part Number]],7,3)</f>
        <v>100</v>
      </c>
      <c r="Q84" s="61">
        <v>10</v>
      </c>
      <c r="R84" s="61" t="str">
        <f>IF(All_PCC_a[[#This Row],[Lo (uH)]]&lt;1,"&lt;1",IF(All_PCC_a[[#This Row],[Lo (uH)]]&lt;10,"&lt;10",IF(All_PCC_a[[#This Row],[Lo (uH)]]&lt;100,"&lt;100",IF(All_PCC_a[[#This Row],[Lo (uH)]]&lt;2000,"&lt;2000",""))))</f>
        <v>&lt;100</v>
      </c>
      <c r="S84" s="61" t="str">
        <f>IFERROR(VLOOKUP(All_PCC_a[[#This Row],[Lo (uH)]],[1]Utility!$D$5:$E$43,2,1),"-")</f>
        <v>≤  10</v>
      </c>
      <c r="T84" s="62">
        <v>0.2</v>
      </c>
      <c r="U84" s="95">
        <v>33.4</v>
      </c>
      <c r="V84" s="95">
        <v>36.799999999999997</v>
      </c>
      <c r="W84" s="61">
        <v>10</v>
      </c>
      <c r="X84" s="61">
        <v>6.7</v>
      </c>
      <c r="Y84" s="61">
        <v>5.7</v>
      </c>
      <c r="Z84" s="64">
        <v>13</v>
      </c>
      <c r="AA84" s="61">
        <v>8.0399999999999991</v>
      </c>
      <c r="AB84" s="1">
        <v>8.5</v>
      </c>
      <c r="AC84" s="1">
        <v>8</v>
      </c>
      <c r="AD84" s="61">
        <v>5.4</v>
      </c>
      <c r="AE84" s="1">
        <f>ROUND(All_PCC_a[[#This Row],[L (mm)]]*All_PCC_a[[#This Row],[W (mm)]],1)</f>
        <v>68</v>
      </c>
      <c r="AF84" s="61" t="str">
        <f>All_PCC_a[[#This Row],[L (mm)]]&amp;"  x  "&amp;All_PCC_a[[#This Row],[W (mm)]]</f>
        <v>8,5  x  8</v>
      </c>
      <c r="AG84" s="76" t="s">
        <v>171</v>
      </c>
      <c r="AH84" s="61" t="str">
        <f>IF(All_PCC_a[[#This Row],[Max Height (mm)]]&lt;=9,"≤ "&amp;ROUNDUP(AD84,0),"≤"&amp;ROUNDUP(AD84,0))</f>
        <v>≤ 6</v>
      </c>
      <c r="AI84" s="11">
        <v>-40</v>
      </c>
      <c r="AJ84" s="11">
        <v>150</v>
      </c>
      <c r="AK84" s="1" t="str">
        <f>All_PCC_a[[#This Row],[Min Temp (deg.C)]]&amp;" to +"&amp;All_PCC_a[[#This Row],[Max Temp (deg.C)]]</f>
        <v>-40 to +150</v>
      </c>
      <c r="AL84" s="1"/>
      <c r="AO84" s="61" t="s">
        <v>144</v>
      </c>
      <c r="AP84" s="61" t="str">
        <f t="shared" si="14"/>
        <v>-</v>
      </c>
      <c r="AQ84" s="62" t="s">
        <v>122</v>
      </c>
      <c r="AR84" s="61" t="s">
        <v>122</v>
      </c>
      <c r="AS84" s="1" t="s">
        <v>338</v>
      </c>
      <c r="AT84" s="1" t="s">
        <v>124</v>
      </c>
      <c r="AU84" s="1" t="e" vm="1">
        <f ca="1">_xlfn.IMAGE(All_PCC_a[[#This Row],[Image URL]])</f>
        <v>#NAME?</v>
      </c>
      <c r="AW84" s="1"/>
      <c r="AY84" s="1"/>
      <c r="BC84" s="1">
        <f>IF(Z84&lt;('[1]DCDC Ref'!$J$24/'[1]DCDC Ref'!$J$26)*'[1]DCDC Ref'!$J$28/100,0,1)</f>
        <v>1</v>
      </c>
      <c r="BD84" s="66">
        <f>IF(BC84=1000000000,"",('All Data'!Q84-'[1]DCDC Ref'!$J$30)/'[1]DCDC Ref'!$J$30*100)</f>
        <v>1482.4175824175825</v>
      </c>
      <c r="BE84" s="67">
        <f t="shared" si="11"/>
        <v>1482.4175824175825</v>
      </c>
      <c r="BF84" s="67"/>
      <c r="BG84" s="66"/>
      <c r="BH84" s="68">
        <f t="shared" si="8"/>
        <v>0</v>
      </c>
      <c r="BI84" s="67"/>
      <c r="BJ84" s="1">
        <f>IF(BC84=0,"",('All Data'!Z84-'[1]DCDC Ref'!$J$28*('[1]DCDC Ref'!$J$29/100))/'[1]DCDC Ref'!$J$28*('[1]DCDC Ref'!$J$29/100)*100)</f>
        <v>16.551724137931021</v>
      </c>
      <c r="BK84" s="68">
        <f t="shared" si="9"/>
        <v>16.551724137931021</v>
      </c>
      <c r="BL84" s="68"/>
      <c r="BM84" s="68"/>
      <c r="BN84" s="68"/>
      <c r="BO84" s="68"/>
      <c r="BQ84" s="5">
        <f t="shared" si="12"/>
        <v>7412170.6707086023</v>
      </c>
      <c r="BR84" s="5">
        <f>IF(BQ84="","",RANK(BQ84,BQ$11:BQ$9930,1)+COUNTIF(BQ$11:BQ84,BQ84)-1)</f>
        <v>92</v>
      </c>
      <c r="BS84" s="69">
        <f t="shared" si="10"/>
        <v>92</v>
      </c>
      <c r="BT84" s="1" t="str">
        <f>IFERROR(INDEX($O$11:$O$1013,MATCH(ROWS($BS$11:BS84),$BS$11:$BS$1005,0)),"")</f>
        <v>ETQP4M4R7KVK</v>
      </c>
      <c r="BU84" s="69" t="str">
        <f t="shared" si="13"/>
        <v>ETQP4M4R7KVK</v>
      </c>
    </row>
    <row r="85" spans="1:73" ht="15">
      <c r="A85" s="1">
        <v>32</v>
      </c>
      <c r="B85" s="28" t="s">
        <v>109</v>
      </c>
      <c r="D85" s="1" t="s">
        <v>110</v>
      </c>
      <c r="E85" s="58"/>
      <c r="F85" s="1" t="s">
        <v>111</v>
      </c>
      <c r="G85" s="2" t="s">
        <v>112</v>
      </c>
      <c r="H85" s="1" t="s">
        <v>113</v>
      </c>
      <c r="I85" s="2" t="s">
        <v>114</v>
      </c>
      <c r="J85" s="1" t="s">
        <v>115</v>
      </c>
      <c r="K85" s="1" t="s">
        <v>116</v>
      </c>
      <c r="L85" s="1" t="s">
        <v>279</v>
      </c>
      <c r="M85" s="1" t="s">
        <v>297</v>
      </c>
      <c r="N85" s="1" t="s">
        <v>154</v>
      </c>
      <c r="O85" s="59" t="s">
        <v>339</v>
      </c>
      <c r="P85" s="60" t="str">
        <f>MID(All_PCC_a[[#This Row],[Part Number]],7,3)</f>
        <v>100</v>
      </c>
      <c r="Q85" s="61">
        <v>10</v>
      </c>
      <c r="R85" s="61" t="str">
        <f>IF(All_PCC_a[[#This Row],[Lo (uH)]]&lt;1,"&lt;1",IF(All_PCC_a[[#This Row],[Lo (uH)]]&lt;10,"&lt;10",IF(All_PCC_a[[#This Row],[Lo (uH)]]&lt;100,"&lt;100",IF(All_PCC_a[[#This Row],[Lo (uH)]]&lt;2000,"&lt;2000",""))))</f>
        <v>&lt;100</v>
      </c>
      <c r="S85" s="61" t="str">
        <f>IFERROR(VLOOKUP(All_PCC_a[[#This Row],[Lo (uH)]],[1]Utility!$D$5:$E$43,2,1),"-")</f>
        <v>≤  10</v>
      </c>
      <c r="T85" s="62">
        <v>0.2</v>
      </c>
      <c r="U85" s="63">
        <v>37.6</v>
      </c>
      <c r="V85" s="63">
        <v>41.3</v>
      </c>
      <c r="W85" s="61">
        <v>10</v>
      </c>
      <c r="X85" s="61">
        <v>5.7</v>
      </c>
      <c r="Y85" s="61">
        <v>4.7</v>
      </c>
      <c r="Z85" s="64">
        <v>10.6</v>
      </c>
      <c r="AA85" s="61">
        <v>7.56</v>
      </c>
      <c r="AB85" s="1">
        <v>7.5</v>
      </c>
      <c r="AC85" s="1">
        <v>7</v>
      </c>
      <c r="AD85" s="61">
        <v>5.4</v>
      </c>
      <c r="AE85" s="1">
        <f>ROUND(All_PCC_a[[#This Row],[L (mm)]]*All_PCC_a[[#This Row],[W (mm)]],1)</f>
        <v>52.5</v>
      </c>
      <c r="AF85" s="61" t="str">
        <f>All_PCC_a[[#This Row],[L (mm)]]&amp;"  x  "&amp;All_PCC_a[[#This Row],[W (mm)]]</f>
        <v>7,5  x  7</v>
      </c>
      <c r="AG85" s="98" t="s">
        <v>282</v>
      </c>
      <c r="AH85" s="61" t="str">
        <f>IF(All_PCC_a[[#This Row],[Max Height (mm)]]&lt;=9,"≤ "&amp;ROUNDUP(AD85,0),"≤"&amp;ROUNDUP(AD85,0))</f>
        <v>≤ 6</v>
      </c>
      <c r="AI85" s="11">
        <v>-40</v>
      </c>
      <c r="AJ85" s="11">
        <v>150</v>
      </c>
      <c r="AK85" s="1" t="str">
        <f>All_PCC_a[[#This Row],[Min Temp (deg.C)]]&amp;" to +"&amp;All_PCC_a[[#This Row],[Max Temp (deg.C)]]</f>
        <v>-40 to +150</v>
      </c>
      <c r="AL85" s="1"/>
      <c r="AO85" s="61" t="s">
        <v>144</v>
      </c>
      <c r="AP85" s="61" t="str">
        <f t="shared" si="14"/>
        <v>-</v>
      </c>
      <c r="AQ85" s="61" t="s">
        <v>122</v>
      </c>
      <c r="AR85" s="61" t="s">
        <v>122</v>
      </c>
      <c r="AS85" s="1" t="s">
        <v>340</v>
      </c>
      <c r="AT85" s="1" t="s">
        <v>124</v>
      </c>
      <c r="AU85" s="1" t="e" vm="1">
        <f ca="1">_xlfn.IMAGE(All_PCC_a[[#This Row],[Image URL]])</f>
        <v>#NAME?</v>
      </c>
      <c r="AW85" s="1"/>
      <c r="AY85" s="1"/>
      <c r="BC85" s="1">
        <f>IF(Z85&lt;('[1]DCDC Ref'!$J$24/'[1]DCDC Ref'!$J$26)*'[1]DCDC Ref'!$J$28/100,0,1)</f>
        <v>1</v>
      </c>
      <c r="BD85" s="66">
        <f>IF(BC85=1000000000,"",('All Data'!Q85-'[1]DCDC Ref'!$J$30)/'[1]DCDC Ref'!$J$30*100)</f>
        <v>1482.4175824175825</v>
      </c>
      <c r="BE85" s="67">
        <f t="shared" si="11"/>
        <v>1482.4175824175825</v>
      </c>
      <c r="BF85" s="67"/>
      <c r="BG85" s="66"/>
      <c r="BH85" s="68">
        <f t="shared" si="8"/>
        <v>0</v>
      </c>
      <c r="BI85" s="67"/>
      <c r="BJ85" s="1">
        <f>IF(BC85=0,"",('All Data'!Z85-'[1]DCDC Ref'!$J$28*('[1]DCDC Ref'!$J$29/100))/'[1]DCDC Ref'!$J$28*('[1]DCDC Ref'!$J$29/100)*100)</f>
        <v>-4.9655172413793238</v>
      </c>
      <c r="BK85" s="68">
        <f t="shared" si="9"/>
        <v>10000</v>
      </c>
      <c r="BL85" s="68"/>
      <c r="BM85" s="68"/>
      <c r="BN85" s="68"/>
      <c r="BO85" s="68"/>
      <c r="BQ85" s="5">
        <f t="shared" si="12"/>
        <v>7462087.9120879127</v>
      </c>
      <c r="BR85" s="5">
        <f>IF(BQ85="","",RANK(BQ85,BQ$11:BQ$9930,1)+COUNTIF(BQ$11:BQ85,BQ85)-1)</f>
        <v>96</v>
      </c>
      <c r="BS85" s="69">
        <f t="shared" si="10"/>
        <v>96</v>
      </c>
      <c r="BT85" s="1" t="str">
        <f>IFERROR(INDEX($O$11:$O$1013,MATCH(ROWS($BS$11:BS85),$BS$11:$BS$1005,0)),"")</f>
        <v>ETQP5M4R7YFC</v>
      </c>
      <c r="BU85" s="69" t="str">
        <f t="shared" si="13"/>
        <v>ETQP5M4R7YFC</v>
      </c>
    </row>
    <row r="86" spans="1:73" ht="15">
      <c r="A86" s="1">
        <v>52</v>
      </c>
      <c r="B86" s="28" t="s">
        <v>109</v>
      </c>
      <c r="D86" s="1" t="s">
        <v>110</v>
      </c>
      <c r="E86" s="58"/>
      <c r="F86" s="1" t="s">
        <v>111</v>
      </c>
      <c r="G86" s="2" t="s">
        <v>112</v>
      </c>
      <c r="H86" s="1" t="s">
        <v>113</v>
      </c>
      <c r="I86" s="2" t="s">
        <v>114</v>
      </c>
      <c r="J86" s="1" t="s">
        <v>115</v>
      </c>
      <c r="K86" s="1" t="s">
        <v>134</v>
      </c>
      <c r="L86" s="1" t="s">
        <v>135</v>
      </c>
      <c r="M86" s="1" t="s">
        <v>136</v>
      </c>
      <c r="N86" s="1" t="s">
        <v>119</v>
      </c>
      <c r="O86" s="59" t="s">
        <v>341</v>
      </c>
      <c r="P86" s="60" t="str">
        <f>MID(All_PCC_a[[#This Row],[Part Number]],7,3)</f>
        <v>100</v>
      </c>
      <c r="Q86" s="61">
        <v>10</v>
      </c>
      <c r="R86" s="61" t="str">
        <f>IF(All_PCC_a[[#This Row],[Lo (uH)]]&lt;1,"&lt;1",IF(All_PCC_a[[#This Row],[Lo (uH)]]&lt;10,"&lt;10",IF(All_PCC_a[[#This Row],[Lo (uH)]]&lt;100,"&lt;100",IF(All_PCC_a[[#This Row],[Lo (uH)]]&lt;2000,"&lt;2000",""))))</f>
        <v>&lt;100</v>
      </c>
      <c r="S86" s="61" t="str">
        <f>IFERROR(VLOOKUP(All_PCC_a[[#This Row],[Lo (uH)]],[1]Utility!$D$5:$E$43,2,1),"-")</f>
        <v>≤  10</v>
      </c>
      <c r="T86" s="62">
        <v>0.2</v>
      </c>
      <c r="U86" s="63">
        <v>96</v>
      </c>
      <c r="V86" s="63">
        <v>105.6</v>
      </c>
      <c r="W86" s="61">
        <v>10</v>
      </c>
      <c r="X86" s="61">
        <v>2.9</v>
      </c>
      <c r="Y86" s="61">
        <v>2.4</v>
      </c>
      <c r="Z86" s="64">
        <v>4.2</v>
      </c>
      <c r="AA86" s="61">
        <v>3.35</v>
      </c>
      <c r="AB86" s="1">
        <v>5.5</v>
      </c>
      <c r="AC86" s="1">
        <v>5</v>
      </c>
      <c r="AD86" s="61">
        <v>3</v>
      </c>
      <c r="AE86" s="1">
        <f>ROUND(All_PCC_a[[#This Row],[L (mm)]]*All_PCC_a[[#This Row],[W (mm)]],1)</f>
        <v>27.5</v>
      </c>
      <c r="AF86" s="61" t="str">
        <f>All_PCC_a[[#This Row],[L (mm)]]&amp;"  x  "&amp;All_PCC_a[[#This Row],[W (mm)]]</f>
        <v>5,5  x  5</v>
      </c>
      <c r="AG86" s="65" t="s">
        <v>138</v>
      </c>
      <c r="AH86" s="61" t="str">
        <f>IF(All_PCC_a[[#This Row],[Max Height (mm)]]&lt;=9,"≤ "&amp;ROUNDUP(AD86,0),"≤"&amp;ROUNDUP(AD86,0))</f>
        <v>≤ 3</v>
      </c>
      <c r="AI86" s="1">
        <v>-55</v>
      </c>
      <c r="AJ86" s="1">
        <v>155</v>
      </c>
      <c r="AK86" s="1" t="str">
        <f>All_PCC_a[[#This Row],[Min Temp (deg.C)]]&amp;" to +"&amp;All_PCC_a[[#This Row],[Max Temp (deg.C)]]</f>
        <v>-55 to +155</v>
      </c>
      <c r="AL86" s="1"/>
      <c r="AO86" s="61" t="s">
        <v>122</v>
      </c>
      <c r="AP86" s="61" t="str">
        <f t="shared" si="14"/>
        <v>-</v>
      </c>
      <c r="AQ86" s="61" t="s">
        <v>122</v>
      </c>
      <c r="AR86" s="61" t="s">
        <v>122</v>
      </c>
      <c r="AS86" s="1" t="s">
        <v>342</v>
      </c>
      <c r="AT86" s="1" t="s">
        <v>140</v>
      </c>
      <c r="AU86" s="1" t="e" vm="1">
        <f ca="1">_xlfn.IMAGE(All_PCC_a[[#This Row],[Image URL]])</f>
        <v>#NAME?</v>
      </c>
      <c r="AW86" s="1"/>
      <c r="AY86" s="1"/>
      <c r="BC86" s="1">
        <f>IF(Z86&lt;('[1]DCDC Ref'!$J$24/'[1]DCDC Ref'!$J$26)*'[1]DCDC Ref'!$J$28/100,0,1)</f>
        <v>1</v>
      </c>
      <c r="BD86" s="66">
        <f>IF(BC86=1000000000,"",('All Data'!Q86-'[1]DCDC Ref'!$J$30)/'[1]DCDC Ref'!$J$30*100)</f>
        <v>1482.4175824175825</v>
      </c>
      <c r="BE86" s="67">
        <f t="shared" si="11"/>
        <v>1482.4175824175825</v>
      </c>
      <c r="BF86" s="67"/>
      <c r="BG86" s="66"/>
      <c r="BH86" s="68">
        <f t="shared" si="8"/>
        <v>0</v>
      </c>
      <c r="BI86" s="67"/>
      <c r="BJ86" s="1">
        <f>IF(BC86=0,"",('All Data'!Z86-'[1]DCDC Ref'!$J$28*('[1]DCDC Ref'!$J$29/100))/'[1]DCDC Ref'!$J$28*('[1]DCDC Ref'!$J$29/100)*100)</f>
        <v>-62.344827586206897</v>
      </c>
      <c r="BK86" s="68">
        <f t="shared" si="9"/>
        <v>10000</v>
      </c>
      <c r="BL86" s="68"/>
      <c r="BM86" s="68"/>
      <c r="BN86" s="68"/>
      <c r="BO86" s="68"/>
      <c r="BQ86" s="5">
        <f t="shared" si="12"/>
        <v>7462087.9120879127</v>
      </c>
      <c r="BR86" s="5">
        <f>IF(BQ86="","",RANK(BQ86,BQ$11:BQ$9930,1)+COUNTIF(BQ$11:BQ86,BQ86)-1)</f>
        <v>97</v>
      </c>
      <c r="BS86" s="69">
        <f t="shared" si="10"/>
        <v>97</v>
      </c>
      <c r="BT86" s="1" t="str">
        <f>IFERROR(INDEX($O$11:$O$1013,MATCH(ROWS($BS$11:BS86),$BS$11:$BS$1005,0)),"")</f>
        <v>ETQP6M4R7YLC</v>
      </c>
      <c r="BU86" s="69" t="str">
        <f t="shared" si="13"/>
        <v>ETQP6M4R7YLC</v>
      </c>
    </row>
    <row r="87" spans="1:73" ht="15">
      <c r="A87" s="1">
        <v>63</v>
      </c>
      <c r="B87" s="28" t="s">
        <v>109</v>
      </c>
      <c r="D87" s="1" t="s">
        <v>110</v>
      </c>
      <c r="E87" s="58"/>
      <c r="F87" s="1" t="s">
        <v>111</v>
      </c>
      <c r="G87" s="2" t="s">
        <v>112</v>
      </c>
      <c r="H87" s="1" t="s">
        <v>113</v>
      </c>
      <c r="I87" s="2" t="s">
        <v>114</v>
      </c>
      <c r="J87" s="1" t="s">
        <v>115</v>
      </c>
      <c r="K87" s="1" t="s">
        <v>134</v>
      </c>
      <c r="L87" s="1" t="s">
        <v>164</v>
      </c>
      <c r="M87" s="1" t="s">
        <v>165</v>
      </c>
      <c r="N87" s="1" t="s">
        <v>119</v>
      </c>
      <c r="O87" s="59" t="s">
        <v>343</v>
      </c>
      <c r="P87" s="60" t="str">
        <f>MID(All_PCC_a[[#This Row],[Part Number]],7,3)</f>
        <v>100</v>
      </c>
      <c r="Q87" s="61">
        <v>10</v>
      </c>
      <c r="R87" s="61" t="str">
        <f>IF(All_PCC_a[[#This Row],[Lo (uH)]]&lt;1,"&lt;1",IF(All_PCC_a[[#This Row],[Lo (uH)]]&lt;10,"&lt;10",IF(All_PCC_a[[#This Row],[Lo (uH)]]&lt;100,"&lt;100",IF(All_PCC_a[[#This Row],[Lo (uH)]]&lt;2000,"&lt;2000",""))))</f>
        <v>&lt;100</v>
      </c>
      <c r="S87" s="61" t="str">
        <f>IFERROR(VLOOKUP(All_PCC_a[[#This Row],[Lo (uH)]],[1]Utility!$D$5:$E$43,2,1),"-")</f>
        <v>≤  10</v>
      </c>
      <c r="T87" s="62">
        <v>0.2</v>
      </c>
      <c r="U87" s="63">
        <v>71</v>
      </c>
      <c r="V87" s="63">
        <v>78.099999999999994</v>
      </c>
      <c r="W87" s="61">
        <v>10</v>
      </c>
      <c r="X87" s="61">
        <v>3.6</v>
      </c>
      <c r="Y87" s="61">
        <v>2.9</v>
      </c>
      <c r="Z87" s="64">
        <v>5.8</v>
      </c>
      <c r="AA87" s="61">
        <v>4.22</v>
      </c>
      <c r="AB87" s="1">
        <v>6.4</v>
      </c>
      <c r="AC87" s="1">
        <v>6</v>
      </c>
      <c r="AD87" s="61">
        <v>3</v>
      </c>
      <c r="AE87" s="1">
        <f>ROUND(All_PCC_a[[#This Row],[L (mm)]]*All_PCC_a[[#This Row],[W (mm)]],1)</f>
        <v>38.4</v>
      </c>
      <c r="AF87" s="61" t="str">
        <f>All_PCC_a[[#This Row],[L (mm)]]&amp;"  x  "&amp;All_PCC_a[[#This Row],[W (mm)]]</f>
        <v>6,4  x  6</v>
      </c>
      <c r="AG87" s="65" t="s">
        <v>156</v>
      </c>
      <c r="AH87" s="61" t="str">
        <f>IF(All_PCC_a[[#This Row],[Max Height (mm)]]&lt;=9,"≤ "&amp;ROUNDUP(AD87,0),"≤"&amp;ROUNDUP(AD87,0))</f>
        <v>≤ 3</v>
      </c>
      <c r="AI87" s="1">
        <v>-55</v>
      </c>
      <c r="AJ87" s="1">
        <v>155</v>
      </c>
      <c r="AK87" s="1" t="str">
        <f>All_PCC_a[[#This Row],[Min Temp (deg.C)]]&amp;" to +"&amp;All_PCC_a[[#This Row],[Max Temp (deg.C)]]</f>
        <v>-55 to +155</v>
      </c>
      <c r="AL87" s="1"/>
      <c r="AO87" s="1" t="s">
        <v>122</v>
      </c>
      <c r="AP87" s="61" t="str">
        <f t="shared" si="14"/>
        <v>-</v>
      </c>
      <c r="AQ87" s="61" t="s">
        <v>122</v>
      </c>
      <c r="AR87" s="61" t="s">
        <v>122</v>
      </c>
      <c r="AS87" s="1" t="s">
        <v>344</v>
      </c>
      <c r="AT87" s="1" t="s">
        <v>140</v>
      </c>
      <c r="AU87" s="1" t="e" vm="1">
        <f ca="1">_xlfn.IMAGE(All_PCC_a[[#This Row],[Image URL]])</f>
        <v>#NAME?</v>
      </c>
      <c r="AW87" s="1"/>
      <c r="AY87" s="1"/>
      <c r="BC87" s="1">
        <f>IF(Z87&lt;('[1]DCDC Ref'!$J$24/'[1]DCDC Ref'!$J$26)*'[1]DCDC Ref'!$J$28/100,0,1)</f>
        <v>1</v>
      </c>
      <c r="BD87" s="66">
        <f>IF(BC87=1000000000,"",('All Data'!Q87-'[1]DCDC Ref'!$J$30)/'[1]DCDC Ref'!$J$30*100)</f>
        <v>1482.4175824175825</v>
      </c>
      <c r="BE87" s="67">
        <f t="shared" si="11"/>
        <v>1482.4175824175825</v>
      </c>
      <c r="BF87" s="67"/>
      <c r="BG87" s="66"/>
      <c r="BH87" s="68">
        <f t="shared" si="8"/>
        <v>0</v>
      </c>
      <c r="BI87" s="67"/>
      <c r="BJ87" s="1">
        <f>IF(BC87=0,"",('All Data'!Z87-'[1]DCDC Ref'!$J$28*('[1]DCDC Ref'!$J$29/100))/'[1]DCDC Ref'!$J$28*('[1]DCDC Ref'!$J$29/100)*100)</f>
        <v>-48.000000000000007</v>
      </c>
      <c r="BK87" s="68">
        <f t="shared" si="9"/>
        <v>10000</v>
      </c>
      <c r="BL87" s="68"/>
      <c r="BM87" s="68"/>
      <c r="BN87" s="68"/>
      <c r="BO87" s="68"/>
      <c r="BQ87" s="5">
        <f t="shared" si="12"/>
        <v>7462087.9120879127</v>
      </c>
      <c r="BR87" s="5">
        <f>IF(BQ87="","",RANK(BQ87,BQ$11:BQ$9930,1)+COUNTIF(BQ$11:BQ87,BQ87)-1)</f>
        <v>98</v>
      </c>
      <c r="BS87" s="69">
        <f t="shared" si="10"/>
        <v>98</v>
      </c>
      <c r="BT87" s="1" t="str">
        <f>IFERROR(INDEX($O$11:$O$1013,MATCH(ROWS($BS$11:BS87),$BS$11:$BS$1005,0)),"")</f>
        <v>ETQP8M4R7JFA</v>
      </c>
      <c r="BU87" s="69" t="str">
        <f t="shared" si="13"/>
        <v>ETQP8M4R7JFA</v>
      </c>
    </row>
    <row r="88" spans="1:73" ht="15">
      <c r="A88" s="1">
        <v>74</v>
      </c>
      <c r="B88" s="28" t="s">
        <v>109</v>
      </c>
      <c r="D88" s="1" t="s">
        <v>110</v>
      </c>
      <c r="E88" s="58"/>
      <c r="F88" s="1" t="s">
        <v>111</v>
      </c>
      <c r="G88" s="2" t="s">
        <v>112</v>
      </c>
      <c r="H88" s="1" t="s">
        <v>113</v>
      </c>
      <c r="I88" s="2" t="s">
        <v>114</v>
      </c>
      <c r="J88" s="1" t="s">
        <v>115</v>
      </c>
      <c r="K88" s="1" t="s">
        <v>134</v>
      </c>
      <c r="L88" s="1" t="s">
        <v>168</v>
      </c>
      <c r="M88" s="1" t="s">
        <v>169</v>
      </c>
      <c r="N88" s="1" t="s">
        <v>119</v>
      </c>
      <c r="O88" s="59" t="s">
        <v>345</v>
      </c>
      <c r="P88" s="60" t="str">
        <f>MID(All_PCC_a[[#This Row],[Part Number]],7,3)</f>
        <v>100</v>
      </c>
      <c r="Q88" s="61">
        <v>10</v>
      </c>
      <c r="R88" s="61" t="str">
        <f>IF(All_PCC_a[[#This Row],[Lo (uH)]]&lt;1,"&lt;1",IF(All_PCC_a[[#This Row],[Lo (uH)]]&lt;10,"&lt;10",IF(All_PCC_a[[#This Row],[Lo (uH)]]&lt;100,"&lt;100",IF(All_PCC_a[[#This Row],[Lo (uH)]]&lt;2000,"&lt;2000",""))))</f>
        <v>&lt;100</v>
      </c>
      <c r="S88" s="61" t="str">
        <f>IFERROR(VLOOKUP(All_PCC_a[[#This Row],[Lo (uH)]],[1]Utility!$D$5:$E$43,2,1),"-")</f>
        <v>≤  10</v>
      </c>
      <c r="T88" s="62">
        <v>0.2</v>
      </c>
      <c r="U88" s="63">
        <v>41.6</v>
      </c>
      <c r="V88" s="63">
        <v>45.760000000000005</v>
      </c>
      <c r="W88" s="61">
        <v>10</v>
      </c>
      <c r="X88" s="61">
        <v>5.2</v>
      </c>
      <c r="Y88" s="61">
        <v>4.4000000000000004</v>
      </c>
      <c r="Z88" s="64">
        <v>9.1</v>
      </c>
      <c r="AA88" s="61">
        <v>6.79</v>
      </c>
      <c r="AB88" s="1">
        <v>8.4</v>
      </c>
      <c r="AC88" s="1">
        <v>8</v>
      </c>
      <c r="AD88" s="61">
        <v>4</v>
      </c>
      <c r="AE88" s="1">
        <f>ROUND(All_PCC_a[[#This Row],[L (mm)]]*All_PCC_a[[#This Row],[W (mm)]],1)</f>
        <v>67.2</v>
      </c>
      <c r="AF88" s="61" t="str">
        <f>All_PCC_a[[#This Row],[L (mm)]]&amp;"  x  "&amp;All_PCC_a[[#This Row],[W (mm)]]</f>
        <v>8,4  x  8</v>
      </c>
      <c r="AG88" s="76" t="s">
        <v>171</v>
      </c>
      <c r="AH88" s="61" t="str">
        <f>IF(All_PCC_a[[#This Row],[Max Height (mm)]]&lt;=9,"≤ "&amp;ROUNDUP(AD88,0),"≤"&amp;ROUNDUP(AD88,0))</f>
        <v>≤ 4</v>
      </c>
      <c r="AI88" s="1">
        <v>-55</v>
      </c>
      <c r="AJ88" s="1">
        <v>155</v>
      </c>
      <c r="AK88" s="1" t="str">
        <f>All_PCC_a[[#This Row],[Min Temp (deg.C)]]&amp;" to +"&amp;All_PCC_a[[#This Row],[Max Temp (deg.C)]]</f>
        <v>-55 to +155</v>
      </c>
      <c r="AL88" s="1"/>
      <c r="AO88" s="61" t="s">
        <v>122</v>
      </c>
      <c r="AP88" s="61" t="str">
        <f t="shared" si="14"/>
        <v>-</v>
      </c>
      <c r="AQ88" s="61" t="s">
        <v>122</v>
      </c>
      <c r="AR88" s="61" t="s">
        <v>122</v>
      </c>
      <c r="AS88" s="1" t="s">
        <v>346</v>
      </c>
      <c r="AT88" s="1" t="s">
        <v>140</v>
      </c>
      <c r="AU88" s="1" t="e" vm="1">
        <f ca="1">_xlfn.IMAGE(All_PCC_a[[#This Row],[Image URL]])</f>
        <v>#NAME?</v>
      </c>
      <c r="AW88" s="1"/>
      <c r="AY88" s="1"/>
      <c r="BC88" s="1">
        <f>IF(Z88&lt;('[1]DCDC Ref'!$J$24/'[1]DCDC Ref'!$J$26)*'[1]DCDC Ref'!$J$28/100,0,1)</f>
        <v>1</v>
      </c>
      <c r="BD88" s="66">
        <f>IF(BC88=1000000000,"",('All Data'!Q88-'[1]DCDC Ref'!$J$30)/'[1]DCDC Ref'!$J$30*100)</f>
        <v>1482.4175824175825</v>
      </c>
      <c r="BE88" s="67">
        <f t="shared" si="11"/>
        <v>1482.4175824175825</v>
      </c>
      <c r="BF88" s="67"/>
      <c r="BG88" s="66"/>
      <c r="BH88" s="68">
        <f t="shared" si="8"/>
        <v>0</v>
      </c>
      <c r="BI88" s="67"/>
      <c r="BJ88" s="1">
        <f>IF(BC88=0,"",('All Data'!Z88-'[1]DCDC Ref'!$J$28*('[1]DCDC Ref'!$J$29/100))/'[1]DCDC Ref'!$J$28*('[1]DCDC Ref'!$J$29/100)*100)</f>
        <v>-18.413793103448288</v>
      </c>
      <c r="BK88" s="68">
        <f t="shared" si="9"/>
        <v>10000</v>
      </c>
      <c r="BL88" s="68"/>
      <c r="BM88" s="68"/>
      <c r="BN88" s="68"/>
      <c r="BO88" s="68"/>
      <c r="BQ88" s="5">
        <f t="shared" si="12"/>
        <v>7462087.9120879127</v>
      </c>
      <c r="BR88" s="5">
        <f>IF(BQ88="","",RANK(BQ88,BQ$11:BQ$9930,1)+COUNTIF(BQ$11:BQ88,BQ88)-1)</f>
        <v>99</v>
      </c>
      <c r="BS88" s="69">
        <f t="shared" si="10"/>
        <v>99</v>
      </c>
      <c r="BT88" s="1" t="str">
        <f>IFERROR(INDEX($O$11:$O$1013,MATCH(ROWS($BS$11:BS88),$BS$11:$BS$1005,0)),"")</f>
        <v>ETQPAM4R7JFW</v>
      </c>
      <c r="BU88" s="69" t="str">
        <f t="shared" si="13"/>
        <v>ETQPAM4R7JFW</v>
      </c>
    </row>
    <row r="89" spans="1:73" ht="15">
      <c r="A89" s="1">
        <v>86</v>
      </c>
      <c r="B89" s="28" t="s">
        <v>109</v>
      </c>
      <c r="D89" s="1" t="s">
        <v>110</v>
      </c>
      <c r="E89" s="58"/>
      <c r="F89" s="1" t="s">
        <v>111</v>
      </c>
      <c r="G89" s="2" t="s">
        <v>112</v>
      </c>
      <c r="H89" s="1" t="s">
        <v>113</v>
      </c>
      <c r="I89" s="2" t="s">
        <v>114</v>
      </c>
      <c r="J89" s="1" t="s">
        <v>115</v>
      </c>
      <c r="K89" s="1" t="s">
        <v>134</v>
      </c>
      <c r="L89" s="1" t="s">
        <v>191</v>
      </c>
      <c r="M89" s="1" t="s">
        <v>192</v>
      </c>
      <c r="N89" s="1" t="s">
        <v>119</v>
      </c>
      <c r="O89" s="59" t="s">
        <v>347</v>
      </c>
      <c r="P89" s="60" t="str">
        <f>MID(All_PCC_a[[#This Row],[Part Number]],7,3)</f>
        <v>100</v>
      </c>
      <c r="Q89" s="61">
        <v>10</v>
      </c>
      <c r="R89" s="61" t="str">
        <f>IF(All_PCC_a[[#This Row],[Lo (uH)]]&lt;1,"&lt;1",IF(All_PCC_a[[#This Row],[Lo (uH)]]&lt;10,"&lt;10",IF(All_PCC_a[[#This Row],[Lo (uH)]]&lt;100,"&lt;100",IF(All_PCC_a[[#This Row],[Lo (uH)]]&lt;2000,"&lt;2000",""))))</f>
        <v>&lt;100</v>
      </c>
      <c r="S89" s="61" t="str">
        <f>IFERROR(VLOOKUP(All_PCC_a[[#This Row],[Lo (uH)]],[1]Utility!$D$5:$E$43,2,1),"-")</f>
        <v>≤  10</v>
      </c>
      <c r="T89" s="62">
        <v>0.2</v>
      </c>
      <c r="U89" s="63">
        <v>25.4</v>
      </c>
      <c r="V89" s="63">
        <v>27.94</v>
      </c>
      <c r="W89" s="61">
        <v>10</v>
      </c>
      <c r="X89" s="61">
        <v>7.6</v>
      </c>
      <c r="Y89" s="86">
        <v>6.3</v>
      </c>
      <c r="Z89" s="87">
        <v>10.8</v>
      </c>
      <c r="AA89" s="61">
        <v>8.09</v>
      </c>
      <c r="AB89" s="1">
        <v>10.7</v>
      </c>
      <c r="AC89" s="1">
        <v>10</v>
      </c>
      <c r="AD89" s="61">
        <v>4</v>
      </c>
      <c r="AE89" s="1">
        <f>ROUND(All_PCC_a[[#This Row],[L (mm)]]*All_PCC_a[[#This Row],[W (mm)]],1)</f>
        <v>107</v>
      </c>
      <c r="AF89" s="61" t="str">
        <f>All_PCC_a[[#This Row],[L (mm)]]&amp;"  x  "&amp;All_PCC_a[[#This Row],[W (mm)]]</f>
        <v>10,7  x  10</v>
      </c>
      <c r="AG89" s="65" t="s">
        <v>121</v>
      </c>
      <c r="AH89" s="61" t="str">
        <f>IF(All_PCC_a[[#This Row],[Max Height (mm)]]&lt;=9,"≤ "&amp;ROUNDUP(AD89,0),"≤"&amp;ROUNDUP(AD89,0))</f>
        <v>≤ 4</v>
      </c>
      <c r="AI89" s="1">
        <v>-55</v>
      </c>
      <c r="AJ89" s="1">
        <v>155</v>
      </c>
      <c r="AK89" s="1" t="str">
        <f>All_PCC_a[[#This Row],[Min Temp (deg.C)]]&amp;" to +"&amp;All_PCC_a[[#This Row],[Max Temp (deg.C)]]</f>
        <v>-55 to +155</v>
      </c>
      <c r="AL89" s="1"/>
      <c r="AO89" s="61" t="s">
        <v>122</v>
      </c>
      <c r="AP89" s="61" t="str">
        <f t="shared" si="14"/>
        <v>-</v>
      </c>
      <c r="AQ89" s="61" t="s">
        <v>122</v>
      </c>
      <c r="AR89" s="61" t="s">
        <v>122</v>
      </c>
      <c r="AS89" s="1" t="s">
        <v>348</v>
      </c>
      <c r="AT89" s="1" t="s">
        <v>140</v>
      </c>
      <c r="AU89" s="1" t="e" vm="1">
        <f ca="1">_xlfn.IMAGE(All_PCC_a[[#This Row],[Image URL]])</f>
        <v>#NAME?</v>
      </c>
      <c r="AW89" s="1"/>
      <c r="AY89" s="1"/>
      <c r="BC89" s="1">
        <f>IF(Z89&lt;('[1]DCDC Ref'!$J$24/'[1]DCDC Ref'!$J$26)*'[1]DCDC Ref'!$J$28/100,0,1)</f>
        <v>1</v>
      </c>
      <c r="BD89" s="66">
        <f>IF(BC89=1000000000,"",('All Data'!Q89-'[1]DCDC Ref'!$J$30)/'[1]DCDC Ref'!$J$30*100)</f>
        <v>1482.4175824175825</v>
      </c>
      <c r="BE89" s="67">
        <f t="shared" si="11"/>
        <v>1482.4175824175825</v>
      </c>
      <c r="BF89" s="67"/>
      <c r="BG89" s="66"/>
      <c r="BH89" s="68">
        <f t="shared" si="8"/>
        <v>0</v>
      </c>
      <c r="BI89" s="67"/>
      <c r="BJ89" s="1">
        <f>IF(BC89=0,"",('All Data'!Z89-'[1]DCDC Ref'!$J$28*('[1]DCDC Ref'!$J$29/100))/'[1]DCDC Ref'!$J$28*('[1]DCDC Ref'!$J$29/100)*100)</f>
        <v>-3.1724137931034528</v>
      </c>
      <c r="BK89" s="68">
        <f t="shared" si="9"/>
        <v>10000</v>
      </c>
      <c r="BL89" s="68"/>
      <c r="BM89" s="68"/>
      <c r="BN89" s="68"/>
      <c r="BO89" s="68"/>
      <c r="BQ89" s="5">
        <f t="shared" si="12"/>
        <v>7462087.9120879127</v>
      </c>
      <c r="BR89" s="5">
        <f>IF(BQ89="","",RANK(BQ89,BQ$11:BQ$9930,1)+COUNTIF(BQ$11:BQ89,BQ89)-1)</f>
        <v>100</v>
      </c>
      <c r="BS89" s="69">
        <f t="shared" si="10"/>
        <v>100</v>
      </c>
      <c r="BT89" s="1" t="str">
        <f>IFERROR(INDEX($O$11:$O$1013,MATCH(ROWS($BS$11:BS89),$BS$11:$BS$1005,0)),"")</f>
        <v>ETQP4M4R7YFP</v>
      </c>
      <c r="BU89" s="69" t="str">
        <f t="shared" si="13"/>
        <v>ETQP4M4R7YFP</v>
      </c>
    </row>
    <row r="90" spans="1:73" ht="15">
      <c r="A90" s="1">
        <v>94</v>
      </c>
      <c r="B90" s="28" t="s">
        <v>109</v>
      </c>
      <c r="D90" s="1" t="s">
        <v>110</v>
      </c>
      <c r="E90" s="58"/>
      <c r="F90" s="1" t="s">
        <v>111</v>
      </c>
      <c r="G90" s="2" t="s">
        <v>112</v>
      </c>
      <c r="H90" s="1" t="s">
        <v>113</v>
      </c>
      <c r="I90" s="2" t="s">
        <v>114</v>
      </c>
      <c r="J90" s="1" t="s">
        <v>115</v>
      </c>
      <c r="K90" s="1" t="s">
        <v>230</v>
      </c>
      <c r="L90" s="1" t="s">
        <v>349</v>
      </c>
      <c r="M90" s="1" t="s">
        <v>350</v>
      </c>
      <c r="N90" s="1" t="s">
        <v>119</v>
      </c>
      <c r="O90" s="59" t="s">
        <v>351</v>
      </c>
      <c r="P90" s="60" t="str">
        <f>MID(All_PCC_a[[#This Row],[Part Number]],7,3)</f>
        <v>100</v>
      </c>
      <c r="Q90" s="61">
        <v>10</v>
      </c>
      <c r="R90" s="61" t="str">
        <f>IF(All_PCC_a[[#This Row],[Lo (uH)]]&lt;1,"&lt;1",IF(All_PCC_a[[#This Row],[Lo (uH)]]&lt;10,"&lt;10",IF(All_PCC_a[[#This Row],[Lo (uH)]]&lt;100,"&lt;100",IF(All_PCC_a[[#This Row],[Lo (uH)]]&lt;2000,"&lt;2000",""))))</f>
        <v>&lt;100</v>
      </c>
      <c r="S90" s="61" t="str">
        <f>IFERROR(VLOOKUP(All_PCC_a[[#This Row],[Lo (uH)]],[1]Utility!$D$5:$E$43,2,1),"-")</f>
        <v>≤  10</v>
      </c>
      <c r="T90" s="62">
        <v>0.2</v>
      </c>
      <c r="U90" s="63">
        <v>68</v>
      </c>
      <c r="V90" s="63">
        <v>74.8</v>
      </c>
      <c r="W90" s="61">
        <v>20</v>
      </c>
      <c r="X90" s="61">
        <v>3.7</v>
      </c>
      <c r="Y90" s="86">
        <v>3</v>
      </c>
      <c r="Z90" s="87">
        <v>5.5</v>
      </c>
      <c r="AA90" s="61">
        <v>3.8</v>
      </c>
      <c r="AB90" s="1">
        <v>6.5</v>
      </c>
      <c r="AC90" s="1">
        <v>6</v>
      </c>
      <c r="AD90" s="61">
        <v>3</v>
      </c>
      <c r="AE90" s="1">
        <f>ROUND(All_PCC_a[[#This Row],[L (mm)]]*All_PCC_a[[#This Row],[W (mm)]],1)</f>
        <v>39</v>
      </c>
      <c r="AF90" s="61" t="str">
        <f>All_PCC_a[[#This Row],[L (mm)]]&amp;"  x  "&amp;All_PCC_a[[#This Row],[W (mm)]]</f>
        <v>6,5  x  6</v>
      </c>
      <c r="AG90" s="65" t="s">
        <v>156</v>
      </c>
      <c r="AH90" s="61" t="str">
        <f>IF(All_PCC_a[[#This Row],[Max Height (mm)]]&lt;=9,"≤ "&amp;ROUNDUP(AD90,0),"≤"&amp;ROUNDUP(AD90,0))</f>
        <v>≤ 3</v>
      </c>
      <c r="AI90" s="1">
        <v>-40</v>
      </c>
      <c r="AJ90" s="1">
        <v>150</v>
      </c>
      <c r="AK90" s="1" t="str">
        <f>All_PCC_a[[#This Row],[Min Temp (deg.C)]]&amp;" to +"&amp;All_PCC_a[[#This Row],[Max Temp (deg.C)]]</f>
        <v>-40 to +150</v>
      </c>
      <c r="AL90" s="1"/>
      <c r="AO90" s="61" t="s">
        <v>122</v>
      </c>
      <c r="AP90" s="61" t="str">
        <f t="shared" si="14"/>
        <v>-</v>
      </c>
      <c r="AQ90" s="61" t="s">
        <v>122</v>
      </c>
      <c r="AR90" s="61" t="s">
        <v>122</v>
      </c>
      <c r="AS90" s="1" t="s">
        <v>352</v>
      </c>
      <c r="AT90" s="1" t="s">
        <v>235</v>
      </c>
      <c r="AU90" s="1" t="e" vm="1">
        <f ca="1">_xlfn.IMAGE(All_PCC_a[[#This Row],[Image URL]])</f>
        <v>#NAME?</v>
      </c>
      <c r="AW90" s="1"/>
      <c r="AY90" s="1"/>
      <c r="BC90" s="1">
        <f>IF(Z90&lt;('[1]DCDC Ref'!$J$24/'[1]DCDC Ref'!$J$26)*'[1]DCDC Ref'!$J$28/100,0,1)</f>
        <v>1</v>
      </c>
      <c r="BD90" s="66">
        <f>IF(BC90=1000000000,"",('All Data'!Q90-'[1]DCDC Ref'!$J$30)/'[1]DCDC Ref'!$J$30*100)</f>
        <v>1482.4175824175825</v>
      </c>
      <c r="BE90" s="67">
        <f t="shared" si="11"/>
        <v>1482.4175824175825</v>
      </c>
      <c r="BF90" s="67"/>
      <c r="BG90" s="66"/>
      <c r="BH90" s="68">
        <f t="shared" si="8"/>
        <v>0</v>
      </c>
      <c r="BI90" s="67"/>
      <c r="BJ90" s="1">
        <f>IF(BC90=0,"",('All Data'!Z90-'[1]DCDC Ref'!$J$28*('[1]DCDC Ref'!$J$29/100))/'[1]DCDC Ref'!$J$28*('[1]DCDC Ref'!$J$29/100)*100)</f>
        <v>-50.689655172413794</v>
      </c>
      <c r="BK90" s="68">
        <f t="shared" si="9"/>
        <v>10000</v>
      </c>
      <c r="BL90" s="68"/>
      <c r="BM90" s="68"/>
      <c r="BN90" s="68"/>
      <c r="BO90" s="68"/>
      <c r="BQ90" s="5">
        <f t="shared" si="12"/>
        <v>7462087.9120879127</v>
      </c>
      <c r="BR90" s="5">
        <f>IF(BQ90="","",RANK(BQ90,BQ$11:BQ$9930,1)+COUNTIF(BQ$11:BQ90,BQ90)-1)</f>
        <v>101</v>
      </c>
      <c r="BS90" s="69">
        <f t="shared" si="10"/>
        <v>101</v>
      </c>
      <c r="BT90" s="1" t="str">
        <f>IFERROR(INDEX($O$11:$O$1013,MATCH(ROWS($BS$11:BS90),$BS$11:$BS$1005,0)),"")</f>
        <v>ETQP3M4R7KVP</v>
      </c>
      <c r="BU90" s="69" t="str">
        <f t="shared" si="13"/>
        <v>ETQP3M4R7KVP</v>
      </c>
    </row>
    <row r="91" spans="1:73" ht="15">
      <c r="A91" s="1">
        <v>99</v>
      </c>
      <c r="B91" s="28" t="s">
        <v>109</v>
      </c>
      <c r="D91" s="1" t="s">
        <v>110</v>
      </c>
      <c r="E91" s="58"/>
      <c r="F91" s="1" t="s">
        <v>111</v>
      </c>
      <c r="G91" s="2" t="s">
        <v>112</v>
      </c>
      <c r="H91" s="1" t="s">
        <v>113</v>
      </c>
      <c r="I91" s="2" t="s">
        <v>114</v>
      </c>
      <c r="J91" s="1" t="s">
        <v>115</v>
      </c>
      <c r="K91" s="1" t="s">
        <v>273</v>
      </c>
      <c r="L91" s="1" t="s">
        <v>274</v>
      </c>
      <c r="M91" s="1" t="s">
        <v>275</v>
      </c>
      <c r="N91" s="1" t="s">
        <v>119</v>
      </c>
      <c r="O91" s="59" t="s">
        <v>353</v>
      </c>
      <c r="P91" s="60" t="str">
        <f>MID(All_PCC_a[[#This Row],[Part Number]],7,3)</f>
        <v>100</v>
      </c>
      <c r="Q91" s="61">
        <v>10</v>
      </c>
      <c r="R91" s="61" t="str">
        <f>IF(All_PCC_a[[#This Row],[Lo (uH)]]&lt;1,"&lt;1",IF(All_PCC_a[[#This Row],[Lo (uH)]]&lt;10,"&lt;10",IF(All_PCC_a[[#This Row],[Lo (uH)]]&lt;100,"&lt;100",IF(All_PCC_a[[#This Row],[Lo (uH)]]&lt;2000,"&lt;2000",""))))</f>
        <v>&lt;100</v>
      </c>
      <c r="S91" s="61" t="str">
        <f>IFERROR(VLOOKUP(All_PCC_a[[#This Row],[Lo (uH)]],[1]Utility!$D$5:$E$43,2,1),"-")</f>
        <v>≤  10</v>
      </c>
      <c r="T91" s="62">
        <v>0.2</v>
      </c>
      <c r="U91" s="63">
        <v>40.4</v>
      </c>
      <c r="V91" s="63">
        <v>44.44</v>
      </c>
      <c r="W91" s="61">
        <v>10</v>
      </c>
      <c r="X91" s="61">
        <v>5.2</v>
      </c>
      <c r="Y91" s="86">
        <v>4.0999999999999996</v>
      </c>
      <c r="Z91" s="87">
        <v>8.1</v>
      </c>
      <c r="AA91" s="61">
        <v>6.6</v>
      </c>
      <c r="AB91" s="1">
        <v>6.4</v>
      </c>
      <c r="AC91" s="1">
        <v>6</v>
      </c>
      <c r="AD91" s="61">
        <v>4.8</v>
      </c>
      <c r="AE91" s="1">
        <f>ROUND(All_PCC_a[[#This Row],[L (mm)]]*All_PCC_a[[#This Row],[W (mm)]],1)</f>
        <v>38.4</v>
      </c>
      <c r="AF91" s="61" t="str">
        <f>All_PCC_a[[#This Row],[L (mm)]]&amp;"  x  "&amp;All_PCC_a[[#This Row],[W (mm)]]</f>
        <v>6,4  x  6</v>
      </c>
      <c r="AG91" s="65" t="s">
        <v>156</v>
      </c>
      <c r="AH91" s="61" t="str">
        <f>IF(All_PCC_a[[#This Row],[Max Height (mm)]]&lt;=9,"≤ "&amp;ROUNDUP(AD91,0),"≤"&amp;ROUNDUP(AD91,0))</f>
        <v>≤ 5</v>
      </c>
      <c r="AI91" s="1">
        <v>-40</v>
      </c>
      <c r="AJ91" s="1">
        <v>150</v>
      </c>
      <c r="AK91" s="1" t="str">
        <f>All_PCC_a[[#This Row],[Min Temp (deg.C)]]&amp;" to +"&amp;All_PCC_a[[#This Row],[Max Temp (deg.C)]]</f>
        <v>-40 to +150</v>
      </c>
      <c r="AL91" s="1"/>
      <c r="AO91" s="61" t="s">
        <v>122</v>
      </c>
      <c r="AP91" s="61" t="str">
        <f t="shared" si="14"/>
        <v>-</v>
      </c>
      <c r="AQ91" s="61" t="s">
        <v>122</v>
      </c>
      <c r="AR91" s="61" t="s">
        <v>122</v>
      </c>
      <c r="AS91" s="1" t="s">
        <v>354</v>
      </c>
      <c r="AT91" s="1" t="s">
        <v>278</v>
      </c>
      <c r="AU91" s="1" t="e" vm="1">
        <f ca="1">_xlfn.IMAGE(All_PCC_a[[#This Row],[Image URL]])</f>
        <v>#NAME?</v>
      </c>
      <c r="AW91" s="1"/>
      <c r="AY91" s="1"/>
      <c r="BC91" s="1">
        <f>IF(Z91&lt;('[1]DCDC Ref'!$J$24/'[1]DCDC Ref'!$J$26)*'[1]DCDC Ref'!$J$28/100,0,1)</f>
        <v>1</v>
      </c>
      <c r="BD91" s="66">
        <f>IF(BC91=1000000000,"",('All Data'!Q91-'[1]DCDC Ref'!$J$30)/'[1]DCDC Ref'!$J$30*100)</f>
        <v>1482.4175824175825</v>
      </c>
      <c r="BE91" s="67">
        <f t="shared" si="11"/>
        <v>1482.4175824175825</v>
      </c>
      <c r="BF91" s="67"/>
      <c r="BG91" s="66"/>
      <c r="BH91" s="68">
        <f t="shared" si="8"/>
        <v>0</v>
      </c>
      <c r="BI91" s="67"/>
      <c r="BJ91" s="1">
        <f>IF(BC91=0,"",('All Data'!Z91-'[1]DCDC Ref'!$J$28*('[1]DCDC Ref'!$J$29/100))/'[1]DCDC Ref'!$J$28*('[1]DCDC Ref'!$J$29/100)*100)</f>
        <v>-27.379310344827594</v>
      </c>
      <c r="BK91" s="68">
        <f t="shared" si="9"/>
        <v>10000</v>
      </c>
      <c r="BL91" s="68"/>
      <c r="BM91" s="68"/>
      <c r="BN91" s="68"/>
      <c r="BO91" s="68"/>
      <c r="BQ91" s="5">
        <f t="shared" si="12"/>
        <v>7462087.9120879127</v>
      </c>
      <c r="BR91" s="5">
        <f>IF(BQ91="","",RANK(BQ91,BQ$11:BQ$9930,1)+COUNTIF(BQ$11:BQ91,BQ91)-1)</f>
        <v>102</v>
      </c>
      <c r="BS91" s="69">
        <f t="shared" si="10"/>
        <v>102</v>
      </c>
      <c r="BT91" s="1" t="str">
        <f>IFERROR(INDEX($O$11:$O$1013,MATCH(ROWS($BS$11:BS91),$BS$11:$BS$1005,0)),"")</f>
        <v>ETQP3M4R7KVN</v>
      </c>
      <c r="BU91" s="69" t="str">
        <f t="shared" si="13"/>
        <v>ETQP3M4R7KVN</v>
      </c>
    </row>
    <row r="92" spans="1:73" ht="15">
      <c r="A92" s="1">
        <v>102</v>
      </c>
      <c r="B92" s="28" t="s">
        <v>109</v>
      </c>
      <c r="D92" s="1" t="s">
        <v>110</v>
      </c>
      <c r="E92" s="58"/>
      <c r="F92" s="1" t="s">
        <v>111</v>
      </c>
      <c r="G92" s="2" t="s">
        <v>112</v>
      </c>
      <c r="H92" s="1" t="s">
        <v>113</v>
      </c>
      <c r="I92" s="2" t="s">
        <v>114</v>
      </c>
      <c r="J92" s="1" t="s">
        <v>115</v>
      </c>
      <c r="K92" s="1" t="s">
        <v>273</v>
      </c>
      <c r="L92" s="1" t="s">
        <v>314</v>
      </c>
      <c r="M92" s="1" t="s">
        <v>315</v>
      </c>
      <c r="N92" s="1" t="s">
        <v>119</v>
      </c>
      <c r="O92" s="59" t="s">
        <v>355</v>
      </c>
      <c r="P92" s="60" t="str">
        <f>MID(All_PCC_a[[#This Row],[Part Number]],7,3)</f>
        <v>100</v>
      </c>
      <c r="Q92" s="61">
        <v>10</v>
      </c>
      <c r="R92" s="61" t="str">
        <f>IF(All_PCC_a[[#This Row],[Lo (uH)]]&lt;1,"&lt;1",IF(All_PCC_a[[#This Row],[Lo (uH)]]&lt;10,"&lt;10",IF(All_PCC_a[[#This Row],[Lo (uH)]]&lt;100,"&lt;100",IF(All_PCC_a[[#This Row],[Lo (uH)]]&lt;2000,"&lt;2000",""))))</f>
        <v>&lt;100</v>
      </c>
      <c r="S92" s="61" t="str">
        <f>IFERROR(VLOOKUP(All_PCC_a[[#This Row],[Lo (uH)]],[1]Utility!$D$5:$E$43,2,1),"-")</f>
        <v>≤  10</v>
      </c>
      <c r="T92" s="62">
        <v>0.2</v>
      </c>
      <c r="U92" s="63">
        <v>36</v>
      </c>
      <c r="V92" s="63">
        <v>39.6</v>
      </c>
      <c r="W92" s="61">
        <v>10</v>
      </c>
      <c r="X92" s="61">
        <v>6</v>
      </c>
      <c r="Y92" s="86">
        <v>4.5</v>
      </c>
      <c r="Z92" s="87">
        <v>9.6</v>
      </c>
      <c r="AA92" s="61">
        <v>6.7</v>
      </c>
      <c r="AB92" s="1">
        <v>7.4</v>
      </c>
      <c r="AC92" s="1">
        <v>7</v>
      </c>
      <c r="AD92" s="61">
        <v>4.8</v>
      </c>
      <c r="AE92" s="1">
        <f>ROUND(All_PCC_a[[#This Row],[L (mm)]]*All_PCC_a[[#This Row],[W (mm)]],1)</f>
        <v>51.8</v>
      </c>
      <c r="AF92" s="61" t="str">
        <f>All_PCC_a[[#This Row],[L (mm)]]&amp;"  x  "&amp;All_PCC_a[[#This Row],[W (mm)]]</f>
        <v>7,4  x  7</v>
      </c>
      <c r="AG92" s="74" t="s">
        <v>282</v>
      </c>
      <c r="AH92" s="61" t="str">
        <f>IF(All_PCC_a[[#This Row],[Max Height (mm)]]&lt;=9,"≤ "&amp;ROUNDUP(AD92,0),"≤"&amp;ROUNDUP(AD92,0))</f>
        <v>≤ 5</v>
      </c>
      <c r="AI92" s="1">
        <v>-40</v>
      </c>
      <c r="AJ92" s="1">
        <v>150</v>
      </c>
      <c r="AK92" s="1" t="str">
        <f>All_PCC_a[[#This Row],[Min Temp (deg.C)]]&amp;" to +"&amp;All_PCC_a[[#This Row],[Max Temp (deg.C)]]</f>
        <v>-40 to +150</v>
      </c>
      <c r="AL92" s="1"/>
      <c r="AO92" s="61" t="s">
        <v>122</v>
      </c>
      <c r="AP92" s="61" t="str">
        <f t="shared" si="14"/>
        <v>-</v>
      </c>
      <c r="AQ92" s="61" t="s">
        <v>122</v>
      </c>
      <c r="AR92" s="61" t="s">
        <v>122</v>
      </c>
      <c r="AS92" s="1" t="s">
        <v>356</v>
      </c>
      <c r="AT92" s="1" t="s">
        <v>278</v>
      </c>
      <c r="AU92" s="1" t="e" vm="1">
        <f ca="1">_xlfn.IMAGE(All_PCC_a[[#This Row],[Image URL]])</f>
        <v>#NAME?</v>
      </c>
      <c r="AW92" s="1"/>
      <c r="AY92" s="1"/>
      <c r="BC92" s="1">
        <f>IF(Z92&lt;('[1]DCDC Ref'!$J$24/'[1]DCDC Ref'!$J$26)*'[1]DCDC Ref'!$J$28/100,0,1)</f>
        <v>1</v>
      </c>
      <c r="BD92" s="66">
        <f>IF(BC92=1000000000,"",('All Data'!Q92-'[1]DCDC Ref'!$J$30)/'[1]DCDC Ref'!$J$30*100)</f>
        <v>1482.4175824175825</v>
      </c>
      <c r="BE92" s="67">
        <f t="shared" si="11"/>
        <v>1482.4175824175825</v>
      </c>
      <c r="BF92" s="67"/>
      <c r="BG92" s="66"/>
      <c r="BH92" s="68">
        <f t="shared" si="8"/>
        <v>0</v>
      </c>
      <c r="BI92" s="67"/>
      <c r="BJ92" s="1">
        <f>IF(BC92=0,"",('All Data'!Z92-'[1]DCDC Ref'!$J$28*('[1]DCDC Ref'!$J$29/100))/'[1]DCDC Ref'!$J$28*('[1]DCDC Ref'!$J$29/100)*100)</f>
        <v>-13.931034482758633</v>
      </c>
      <c r="BK92" s="68">
        <f t="shared" si="9"/>
        <v>10000</v>
      </c>
      <c r="BL92" s="68"/>
      <c r="BM92" s="68"/>
      <c r="BN92" s="68"/>
      <c r="BO92" s="68"/>
      <c r="BQ92" s="5">
        <f t="shared" si="12"/>
        <v>7462087.9120879127</v>
      </c>
      <c r="BR92" s="5">
        <f>IF(BQ92="","",RANK(BQ92,BQ$11:BQ$9930,1)+COUNTIF(BQ$11:BQ92,BQ92)-1)</f>
        <v>103</v>
      </c>
      <c r="BS92" s="69">
        <f t="shared" si="10"/>
        <v>103</v>
      </c>
      <c r="BT92" s="1" t="str">
        <f>IFERROR(INDEX($O$11:$O$1013,MATCH(ROWS($BS$11:BS92),$BS$11:$BS$1005,0)),"")</f>
        <v>ETQP4M4R7KFN</v>
      </c>
      <c r="BU92" s="69" t="str">
        <f t="shared" si="13"/>
        <v>ETQP4M4R7KFN</v>
      </c>
    </row>
    <row r="93" spans="1:73">
      <c r="A93" s="1">
        <v>123</v>
      </c>
      <c r="B93" s="28" t="s">
        <v>109</v>
      </c>
      <c r="C93" s="24">
        <v>44883</v>
      </c>
      <c r="D93" s="1" t="s">
        <v>110</v>
      </c>
      <c r="E93" s="2"/>
      <c r="F93" s="1" t="s">
        <v>357</v>
      </c>
      <c r="G93" s="2" t="s">
        <v>112</v>
      </c>
      <c r="H93" s="1" t="s">
        <v>113</v>
      </c>
      <c r="I93" s="2" t="s">
        <v>114</v>
      </c>
      <c r="J93" s="1" t="s">
        <v>115</v>
      </c>
      <c r="K93" s="1" t="s">
        <v>116</v>
      </c>
      <c r="L93" s="1" t="s">
        <v>358</v>
      </c>
      <c r="M93" s="1" t="s">
        <v>247</v>
      </c>
      <c r="N93" s="1" t="s">
        <v>119</v>
      </c>
      <c r="O93" s="59" t="s">
        <v>359</v>
      </c>
      <c r="P93" s="60" t="str">
        <f>MID(All_PCC_a[[#This Row],[Part Number]],7,3)</f>
        <v>100</v>
      </c>
      <c r="Q93" s="61">
        <v>10</v>
      </c>
      <c r="R93" s="71" t="str">
        <f>IF(All_PCC_a[[#This Row],[Lo (uH)]]&lt;1,"&lt;1",IF(All_PCC_a[[#This Row],[Lo (uH)]]&lt;10,"&lt;10",IF(All_PCC_a[[#This Row],[Lo (uH)]]&lt;100,"&lt;100",IF(All_PCC_a[[#This Row],[Lo (uH)]]&lt;2000,"&lt;2000",""))))</f>
        <v>&lt;100</v>
      </c>
      <c r="S93" s="61" t="str">
        <f>IFERROR(VLOOKUP(All_PCC_a[[#This Row],[Lo (uH)]],[1]Utility!$D$5:$E$43,2,1),"-")</f>
        <v>≤  10</v>
      </c>
      <c r="T93" s="62">
        <v>0.2</v>
      </c>
      <c r="U93" s="70">
        <v>31.5</v>
      </c>
      <c r="V93" s="70">
        <v>34.65</v>
      </c>
      <c r="W93" s="61">
        <v>10</v>
      </c>
      <c r="X93" s="71">
        <v>6.9</v>
      </c>
      <c r="Y93" s="61">
        <v>5.9</v>
      </c>
      <c r="Z93" s="64">
        <v>11.1</v>
      </c>
      <c r="AA93" s="61">
        <v>7.7</v>
      </c>
      <c r="AB93" s="1">
        <v>8.5</v>
      </c>
      <c r="AC93" s="1">
        <v>8</v>
      </c>
      <c r="AD93" s="61">
        <v>5.4</v>
      </c>
      <c r="AE93" s="1">
        <f>ROUND(All_PCC_a[[#This Row],[L (mm)]]*All_PCC_a[[#This Row],[W (mm)]],1)</f>
        <v>68</v>
      </c>
      <c r="AF93" s="61" t="str">
        <f>All_PCC_a[[#This Row],[L (mm)]]&amp;"  x  "&amp;All_PCC_a[[#This Row],[W (mm)]]</f>
        <v>8,5  x  8</v>
      </c>
      <c r="AG93" s="65" t="s">
        <v>171</v>
      </c>
      <c r="AH93" s="61" t="str">
        <f>IF(All_PCC_a[[#This Row],[Max Height (mm)]]&lt;=9,"≤ "&amp;ROUNDUP(AD93,0),"≤"&amp;ROUNDUP(AD93,0))</f>
        <v>≤ 6</v>
      </c>
      <c r="AI93" s="1">
        <v>-40</v>
      </c>
      <c r="AJ93" s="1">
        <v>150</v>
      </c>
      <c r="AK93" s="1" t="str">
        <f>All_PCC_a[[#This Row],[Min Temp (deg.C)]]&amp;" to +"&amp;All_PCC_a[[#This Row],[Max Temp (deg.C)]]</f>
        <v>-40 to +150</v>
      </c>
      <c r="AL93" s="1"/>
      <c r="AO93" s="61" t="s">
        <v>122</v>
      </c>
      <c r="AP93" s="71" t="str">
        <f t="shared" si="14"/>
        <v>-</v>
      </c>
      <c r="AQ93" s="61" t="s">
        <v>122</v>
      </c>
      <c r="AR93" s="61" t="s">
        <v>122</v>
      </c>
      <c r="AS93" s="1" t="s">
        <v>360</v>
      </c>
      <c r="AT93" s="1" t="s">
        <v>124</v>
      </c>
      <c r="AU93" s="1" t="e" vm="1">
        <f ca="1">_xlfn.IMAGE(All_PCC_a[[#This Row],[Image URL]])</f>
        <v>#NAME?</v>
      </c>
      <c r="AW93" s="1"/>
      <c r="AY93" s="1"/>
      <c r="BC93" s="1">
        <f>IF(Z93&lt;('[1]DCDC Ref'!$J$24/'[1]DCDC Ref'!$J$26)*'[1]DCDC Ref'!$J$28/100,0,1)</f>
        <v>1</v>
      </c>
      <c r="BD93" s="66">
        <f>IF(BC93=1000000000,"",('All Data'!Q93-'[1]DCDC Ref'!$J$30)/'[1]DCDC Ref'!$J$30*100)</f>
        <v>1482.4175824175825</v>
      </c>
      <c r="BE93" s="67">
        <f t="shared" si="11"/>
        <v>1482.4175824175825</v>
      </c>
      <c r="BF93" s="67"/>
      <c r="BG93" s="66"/>
      <c r="BH93" s="68">
        <f t="shared" si="8"/>
        <v>0</v>
      </c>
      <c r="BI93" s="67"/>
      <c r="BJ93" s="1">
        <f>IF(BC93=0,"",('All Data'!Z93-'[1]DCDC Ref'!$J$28*('[1]DCDC Ref'!$J$29/100))/'[1]DCDC Ref'!$J$28*('[1]DCDC Ref'!$J$29/100)*100)</f>
        <v>-0.48275862068966935</v>
      </c>
      <c r="BK93" s="68">
        <f t="shared" si="9"/>
        <v>10000</v>
      </c>
      <c r="BL93" s="68"/>
      <c r="BM93" s="68"/>
      <c r="BN93" s="68"/>
      <c r="BO93" s="68"/>
      <c r="BQ93" s="5">
        <f t="shared" si="12"/>
        <v>7462087.9120879127</v>
      </c>
      <c r="BR93" s="5">
        <f>IF(BQ93="","",RANK(BQ93,BQ$11:BQ$9930,1)+COUNTIF(BQ$11:BQ93,BQ93)-1)</f>
        <v>104</v>
      </c>
      <c r="BS93" s="69">
        <f t="shared" si="10"/>
        <v>104</v>
      </c>
      <c r="BT93" s="1" t="str">
        <f>IFERROR(INDEX($O$11:$O$1013,MATCH(ROWS($BS$11:BS93),$BS$11:$BS$1005,0)),"")</f>
        <v>ETQP4M4R7KFM</v>
      </c>
      <c r="BU93" s="69" t="str">
        <f t="shared" si="13"/>
        <v>ETQP4M4R7KFM</v>
      </c>
    </row>
    <row r="94" spans="1:73" ht="15">
      <c r="A94" s="1">
        <v>112</v>
      </c>
      <c r="B94" s="28" t="s">
        <v>109</v>
      </c>
      <c r="C94" s="1" t="s">
        <v>361</v>
      </c>
      <c r="D94" s="75" t="s">
        <v>110</v>
      </c>
      <c r="E94" s="78"/>
      <c r="F94" s="75" t="s">
        <v>111</v>
      </c>
      <c r="G94" s="79" t="s">
        <v>112</v>
      </c>
      <c r="H94" s="75" t="s">
        <v>113</v>
      </c>
      <c r="I94" s="79" t="s">
        <v>114</v>
      </c>
      <c r="J94" s="75" t="s">
        <v>115</v>
      </c>
      <c r="K94" s="75" t="s">
        <v>116</v>
      </c>
      <c r="L94" s="75" t="s">
        <v>362</v>
      </c>
      <c r="M94" s="102" t="s">
        <v>200</v>
      </c>
      <c r="N94" s="75" t="s">
        <v>119</v>
      </c>
      <c r="O94" s="59" t="s">
        <v>363</v>
      </c>
      <c r="P94" s="60" t="str">
        <f>MID(All_PCC_a[[#This Row],[Part Number]],7,3)</f>
        <v>150</v>
      </c>
      <c r="Q94" s="103">
        <v>14</v>
      </c>
      <c r="R94" s="92" t="str">
        <f>IF(All_PCC_a[[#This Row],[Lo (uH)]]&lt;1,"&lt;1",IF(All_PCC_a[[#This Row],[Lo (uH)]]&lt;10,"&lt;10",IF(All_PCC_a[[#This Row],[Lo (uH)]]&lt;100,"&lt;100",IF(All_PCC_a[[#This Row],[Lo (uH)]]&lt;2000,"&lt;2000",""))))</f>
        <v>&lt;100</v>
      </c>
      <c r="S94" s="80" t="str">
        <f>IFERROR(VLOOKUP(All_PCC_a[[#This Row],[Lo (uH)]],[1]Utility!$D$5:$E$43,2,1),"-")</f>
        <v>≤  20</v>
      </c>
      <c r="T94" s="72">
        <v>0.2</v>
      </c>
      <c r="U94" s="88">
        <v>28</v>
      </c>
      <c r="V94" s="88">
        <v>30.800000000000004</v>
      </c>
      <c r="W94" s="73">
        <v>10</v>
      </c>
      <c r="X94" s="89">
        <v>7.9</v>
      </c>
      <c r="Y94" s="80">
        <v>6.5</v>
      </c>
      <c r="Z94" s="90">
        <v>11.2</v>
      </c>
      <c r="AA94" s="80">
        <v>8</v>
      </c>
      <c r="AB94" s="75">
        <v>10.9</v>
      </c>
      <c r="AC94" s="75">
        <v>10</v>
      </c>
      <c r="AD94" s="80">
        <v>6</v>
      </c>
      <c r="AE94" s="75">
        <f>ROUND(All_PCC_a[[#This Row],[L (mm)]]*All_PCC_a[[#This Row],[W (mm)]],1)</f>
        <v>109</v>
      </c>
      <c r="AF94" s="61" t="str">
        <f>All_PCC_a[[#This Row],[L (mm)]]&amp;"  x  "&amp;All_PCC_a[[#This Row],[W (mm)]]</f>
        <v>10,9  x  10</v>
      </c>
      <c r="AG94" s="74" t="s">
        <v>150</v>
      </c>
      <c r="AH94" s="61" t="str">
        <f>IF(All_PCC_a[[#This Row],[Max Height (mm)]]&lt;=9,"≤ "&amp;ROUNDUP(AD94,0),"≤"&amp;ROUNDUP(AD94,0))</f>
        <v>≤ 6</v>
      </c>
      <c r="AI94" s="75">
        <v>-40</v>
      </c>
      <c r="AJ94" s="75">
        <v>150</v>
      </c>
      <c r="AK94" s="1" t="str">
        <f>All_PCC_a[[#This Row],[Min Temp (deg.C)]]&amp;" to +"&amp;All_PCC_a[[#This Row],[Max Temp (deg.C)]]</f>
        <v>-40 to +150</v>
      </c>
      <c r="AL94" s="75"/>
      <c r="AM94" s="75"/>
      <c r="AN94" s="75"/>
      <c r="AO94" s="80" t="s">
        <v>122</v>
      </c>
      <c r="AP94" s="92" t="str">
        <f t="shared" si="14"/>
        <v>-</v>
      </c>
      <c r="AQ94" s="80" t="s">
        <v>122</v>
      </c>
      <c r="AR94" s="80" t="s">
        <v>122</v>
      </c>
      <c r="AS94" s="75" t="s">
        <v>364</v>
      </c>
      <c r="AT94" s="1" t="s">
        <v>124</v>
      </c>
      <c r="AU94" s="1" t="e" vm="1">
        <f ca="1">_xlfn.IMAGE(All_PCC_a[[#This Row],[Image URL]])</f>
        <v>#NAME?</v>
      </c>
      <c r="AV94" s="75"/>
      <c r="AW94" s="75"/>
      <c r="AY94" s="1"/>
      <c r="BC94" s="1">
        <f>IF(Z94&lt;('[1]DCDC Ref'!$J$24/'[1]DCDC Ref'!$J$26)*'[1]DCDC Ref'!$J$28/100,0,1)</f>
        <v>1</v>
      </c>
      <c r="BD94" s="66">
        <f>IF(BC94=1000000000,"",('All Data'!Q94-'[1]DCDC Ref'!$J$30)/'[1]DCDC Ref'!$J$30*100)</f>
        <v>2115.3846153846152</v>
      </c>
      <c r="BE94" s="67">
        <f t="shared" si="11"/>
        <v>2115.3846153846152</v>
      </c>
      <c r="BF94" s="67"/>
      <c r="BG94" s="66"/>
      <c r="BH94" s="68">
        <f t="shared" si="8"/>
        <v>0</v>
      </c>
      <c r="BI94" s="67"/>
      <c r="BJ94" s="1">
        <f>IF(BC94=0,"",('All Data'!Z94-'[1]DCDC Ref'!$J$28*('[1]DCDC Ref'!$J$29/100))/'[1]DCDC Ref'!$J$28*('[1]DCDC Ref'!$J$29/100)*100)</f>
        <v>0.41379310344825843</v>
      </c>
      <c r="BK94" s="68">
        <f t="shared" si="9"/>
        <v>0.41379310344825843</v>
      </c>
      <c r="BL94" s="68"/>
      <c r="BM94" s="68"/>
      <c r="BN94" s="68"/>
      <c r="BO94" s="68"/>
      <c r="BQ94" s="5">
        <f t="shared" si="12"/>
        <v>10576925.145888593</v>
      </c>
      <c r="BR94" s="5">
        <f>IF(BQ94="","",RANK(BQ94,BQ$11:BQ$9930,1)+COUNTIF(BQ$11:BQ94,BQ94)-1)</f>
        <v>106</v>
      </c>
      <c r="BS94" s="69">
        <f t="shared" si="10"/>
        <v>106</v>
      </c>
      <c r="BT94" s="1" t="str">
        <f>IFERROR(INDEX($O$11:$O$1013,MATCH(ROWS($BS$11:BS94),$BS$11:$BS$1005,0)),"")</f>
        <v>ETQP5M6R8YFM</v>
      </c>
      <c r="BU94" s="69" t="str">
        <f t="shared" si="13"/>
        <v>ETQP5M6R8YFM</v>
      </c>
    </row>
    <row r="95" spans="1:73" ht="15">
      <c r="A95" s="1">
        <v>18</v>
      </c>
      <c r="B95" s="28" t="s">
        <v>109</v>
      </c>
      <c r="D95" s="1" t="s">
        <v>110</v>
      </c>
      <c r="E95" s="58"/>
      <c r="F95" s="1" t="s">
        <v>111</v>
      </c>
      <c r="G95" s="2" t="s">
        <v>112</v>
      </c>
      <c r="H95" s="1" t="s">
        <v>113</v>
      </c>
      <c r="I95" s="2" t="s">
        <v>114</v>
      </c>
      <c r="J95" s="1" t="s">
        <v>115</v>
      </c>
      <c r="K95" s="1" t="s">
        <v>116</v>
      </c>
      <c r="L95" s="1" t="s">
        <v>195</v>
      </c>
      <c r="M95" s="1" t="s">
        <v>196</v>
      </c>
      <c r="N95" s="1" t="s">
        <v>119</v>
      </c>
      <c r="O95" s="59" t="s">
        <v>365</v>
      </c>
      <c r="P95" s="60" t="str">
        <f>MID(All_PCC_a[[#This Row],[Part Number]],7,3)</f>
        <v>150</v>
      </c>
      <c r="Q95" s="61">
        <v>15</v>
      </c>
      <c r="R95" s="61" t="str">
        <f>IF(All_PCC_a[[#This Row],[Lo (uH)]]&lt;1,"&lt;1",IF(All_PCC_a[[#This Row],[Lo (uH)]]&lt;10,"&lt;10",IF(All_PCC_a[[#This Row],[Lo (uH)]]&lt;100,"&lt;100",IF(All_PCC_a[[#This Row],[Lo (uH)]]&lt;2000,"&lt;2000",""))))</f>
        <v>&lt;100</v>
      </c>
      <c r="S95" s="61" t="str">
        <f>IFERROR(VLOOKUP(All_PCC_a[[#This Row],[Lo (uH)]],[1]Utility!$D$5:$E$43,2,1),"-")</f>
        <v>≤  20</v>
      </c>
      <c r="T95" s="62">
        <v>0.2</v>
      </c>
      <c r="U95" s="63">
        <v>35.6</v>
      </c>
      <c r="V95" s="63">
        <v>39.159999999999997</v>
      </c>
      <c r="W95" s="61">
        <v>10</v>
      </c>
      <c r="X95" s="61">
        <v>7</v>
      </c>
      <c r="Y95" s="61">
        <v>5.8</v>
      </c>
      <c r="Z95" s="64">
        <v>12</v>
      </c>
      <c r="AA95" s="61">
        <v>7.33</v>
      </c>
      <c r="AB95" s="1">
        <v>10.7</v>
      </c>
      <c r="AC95" s="1">
        <v>10</v>
      </c>
      <c r="AD95" s="61">
        <v>5.4</v>
      </c>
      <c r="AE95" s="1">
        <f>ROUND(All_PCC_a[[#This Row],[L (mm)]]*All_PCC_a[[#This Row],[W (mm)]],1)</f>
        <v>107</v>
      </c>
      <c r="AF95" s="61" t="str">
        <f>All_PCC_a[[#This Row],[L (mm)]]&amp;"  x  "&amp;All_PCC_a[[#This Row],[W (mm)]]</f>
        <v>10,7  x  10</v>
      </c>
      <c r="AG95" s="65" t="s">
        <v>121</v>
      </c>
      <c r="AH95" s="61" t="str">
        <f>IF(All_PCC_a[[#This Row],[Max Height (mm)]]&lt;=9,"≤ "&amp;ROUNDUP(AD95,0),"≤"&amp;ROUNDUP(AD95,0))</f>
        <v>≤ 6</v>
      </c>
      <c r="AI95" s="1">
        <v>-40</v>
      </c>
      <c r="AJ95" s="1">
        <v>150</v>
      </c>
      <c r="AK95" s="1" t="str">
        <f>All_PCC_a[[#This Row],[Min Temp (deg.C)]]&amp;" to +"&amp;All_PCC_a[[#This Row],[Max Temp (deg.C)]]</f>
        <v>-40 to +150</v>
      </c>
      <c r="AL95" s="1"/>
      <c r="AO95" s="61" t="s">
        <v>122</v>
      </c>
      <c r="AP95" s="61" t="str">
        <f t="shared" si="14"/>
        <v>-</v>
      </c>
      <c r="AQ95" s="61" t="s">
        <v>122</v>
      </c>
      <c r="AR95" s="61" t="s">
        <v>122</v>
      </c>
      <c r="AS95" s="1" t="s">
        <v>366</v>
      </c>
      <c r="AT95" s="1" t="s">
        <v>124</v>
      </c>
      <c r="AU95" s="1" t="e" vm="1">
        <f ca="1">_xlfn.IMAGE(All_PCC_a[[#This Row],[Image URL]])</f>
        <v>#NAME?</v>
      </c>
      <c r="AW95" s="1"/>
      <c r="AY95" s="1"/>
      <c r="BC95" s="1">
        <f>IF(Z95&lt;('[1]DCDC Ref'!$J$24/'[1]DCDC Ref'!$J$26)*'[1]DCDC Ref'!$J$28/100,0,1)</f>
        <v>1</v>
      </c>
      <c r="BD95" s="66">
        <f>IF(BC95=1000000000,"",('All Data'!Q95-'[1]DCDC Ref'!$J$30)/'[1]DCDC Ref'!$J$30*100)</f>
        <v>2273.6263736263736</v>
      </c>
      <c r="BE95" s="67">
        <f t="shared" si="11"/>
        <v>2273.6263736263736</v>
      </c>
      <c r="BF95" s="67"/>
      <c r="BG95" s="66"/>
      <c r="BH95" s="68">
        <f t="shared" si="8"/>
        <v>0</v>
      </c>
      <c r="BI95" s="67"/>
      <c r="BJ95" s="1">
        <f>IF(BC95=0,"",('All Data'!Z95-'[1]DCDC Ref'!$J$28*('[1]DCDC Ref'!$J$29/100))/'[1]DCDC Ref'!$J$28*('[1]DCDC Ref'!$J$29/100)*100)</f>
        <v>7.5862068965517127</v>
      </c>
      <c r="BK95" s="68">
        <f t="shared" si="9"/>
        <v>7.5862068965517127</v>
      </c>
      <c r="BL95" s="68"/>
      <c r="BM95" s="68"/>
      <c r="BN95" s="68"/>
      <c r="BO95" s="68"/>
      <c r="BQ95" s="5">
        <f t="shared" si="12"/>
        <v>11368169.799166352</v>
      </c>
      <c r="BR95" s="5">
        <f>IF(BQ95="","",RANK(BQ95,BQ$11:BQ$9930,1)+COUNTIF(BQ$11:BQ95,BQ95)-1)</f>
        <v>107</v>
      </c>
      <c r="BS95" s="69">
        <f t="shared" si="10"/>
        <v>107</v>
      </c>
      <c r="BT95" s="1" t="str">
        <f>IFERROR(INDEX($O$11:$O$1013,MATCH(ROWS($BS$11:BS95),$BS$11:$BS$1005,0)),"")</f>
        <v>ETQP4M6R8KVC</v>
      </c>
      <c r="BU95" s="69" t="str">
        <f t="shared" si="13"/>
        <v>ETQP4M6R8KVC</v>
      </c>
    </row>
    <row r="96" spans="1:73" ht="15">
      <c r="A96" s="1">
        <v>26</v>
      </c>
      <c r="B96" s="28" t="s">
        <v>109</v>
      </c>
      <c r="D96" s="1" t="s">
        <v>110</v>
      </c>
      <c r="E96" s="58"/>
      <c r="F96" s="1" t="s">
        <v>111</v>
      </c>
      <c r="G96" s="2" t="s">
        <v>112</v>
      </c>
      <c r="H96" s="1" t="s">
        <v>113</v>
      </c>
      <c r="I96" s="2" t="s">
        <v>114</v>
      </c>
      <c r="J96" s="1" t="s">
        <v>115</v>
      </c>
      <c r="K96" s="1" t="s">
        <v>116</v>
      </c>
      <c r="L96" s="1" t="s">
        <v>246</v>
      </c>
      <c r="M96" s="1" t="s">
        <v>247</v>
      </c>
      <c r="N96" s="1" t="s">
        <v>119</v>
      </c>
      <c r="O96" s="59" t="s">
        <v>367</v>
      </c>
      <c r="P96" s="60" t="str">
        <f>MID(All_PCC_a[[#This Row],[Part Number]],7,3)</f>
        <v>150</v>
      </c>
      <c r="Q96" s="61">
        <v>15</v>
      </c>
      <c r="R96" s="61" t="str">
        <f>IF(All_PCC_a[[#This Row],[Lo (uH)]]&lt;1,"&lt;1",IF(All_PCC_a[[#This Row],[Lo (uH)]]&lt;10,"&lt;10",IF(All_PCC_a[[#This Row],[Lo (uH)]]&lt;100,"&lt;100",IF(All_PCC_a[[#This Row],[Lo (uH)]]&lt;2000,"&lt;2000",""))))</f>
        <v>&lt;100</v>
      </c>
      <c r="S96" s="61" t="str">
        <f>IFERROR(VLOOKUP(All_PCC_a[[#This Row],[Lo (uH)]],[1]Utility!$D$5:$E$43,2,1),"-")</f>
        <v>≤  20</v>
      </c>
      <c r="T96" s="62">
        <v>0.2</v>
      </c>
      <c r="U96" s="63">
        <v>48.2</v>
      </c>
      <c r="V96" s="63">
        <v>53.1</v>
      </c>
      <c r="W96" s="61">
        <v>10</v>
      </c>
      <c r="X96" s="61">
        <v>5.5</v>
      </c>
      <c r="Y96" s="61">
        <v>4.7</v>
      </c>
      <c r="Z96" s="64">
        <v>7.2</v>
      </c>
      <c r="AA96" s="61">
        <v>5.58</v>
      </c>
      <c r="AB96" s="1">
        <v>8.5</v>
      </c>
      <c r="AC96" s="1">
        <v>8</v>
      </c>
      <c r="AD96" s="61">
        <v>5.4</v>
      </c>
      <c r="AE96" s="1">
        <f>ROUND(All_PCC_a[[#This Row],[L (mm)]]*All_PCC_a[[#This Row],[W (mm)]],1)</f>
        <v>68</v>
      </c>
      <c r="AF96" s="61" t="str">
        <f>All_PCC_a[[#This Row],[L (mm)]]&amp;"  x  "&amp;All_PCC_a[[#This Row],[W (mm)]]</f>
        <v>8,5  x  8</v>
      </c>
      <c r="AG96" s="65" t="s">
        <v>171</v>
      </c>
      <c r="AH96" s="61" t="str">
        <f>IF(All_PCC_a[[#This Row],[Max Height (mm)]]&lt;=9,"≤ "&amp;ROUNDUP(AD96,0),"≤"&amp;ROUNDUP(AD96,0))</f>
        <v>≤ 6</v>
      </c>
      <c r="AI96" s="1">
        <v>-40</v>
      </c>
      <c r="AJ96" s="1">
        <v>150</v>
      </c>
      <c r="AK96" s="1" t="str">
        <f>All_PCC_a[[#This Row],[Min Temp (deg.C)]]&amp;" to +"&amp;All_PCC_a[[#This Row],[Max Temp (deg.C)]]</f>
        <v>-40 to +150</v>
      </c>
      <c r="AL96" s="1"/>
      <c r="AO96" s="61" t="s">
        <v>122</v>
      </c>
      <c r="AP96" s="61" t="str">
        <f t="shared" si="14"/>
        <v>-</v>
      </c>
      <c r="AQ96" s="61" t="s">
        <v>122</v>
      </c>
      <c r="AR96" s="61" t="s">
        <v>122</v>
      </c>
      <c r="AS96" s="1" t="s">
        <v>368</v>
      </c>
      <c r="AT96" s="1" t="s">
        <v>124</v>
      </c>
      <c r="AU96" s="1" t="e" vm="1">
        <f ca="1">_xlfn.IMAGE(All_PCC_a[[#This Row],[Image URL]])</f>
        <v>#NAME?</v>
      </c>
      <c r="AW96" s="1"/>
      <c r="AY96" s="1"/>
      <c r="BC96" s="1">
        <f>IF(Z96&lt;('[1]DCDC Ref'!$J$24/'[1]DCDC Ref'!$J$26)*'[1]DCDC Ref'!$J$28/100,0,1)</f>
        <v>1</v>
      </c>
      <c r="BD96" s="66">
        <f>IF(BC96=1000000000,"",('All Data'!Q96-'[1]DCDC Ref'!$J$30)/'[1]DCDC Ref'!$J$30*100)</f>
        <v>2273.6263736263736</v>
      </c>
      <c r="BE96" s="67">
        <f t="shared" si="11"/>
        <v>2273.6263736263736</v>
      </c>
      <c r="BF96" s="67"/>
      <c r="BG96" s="66"/>
      <c r="BH96" s="68">
        <f t="shared" si="8"/>
        <v>0</v>
      </c>
      <c r="BI96" s="67"/>
      <c r="BJ96" s="1">
        <f>IF(BC96=0,"",('All Data'!Z96-'[1]DCDC Ref'!$J$28*('[1]DCDC Ref'!$J$29/100))/'[1]DCDC Ref'!$J$28*('[1]DCDC Ref'!$J$29/100)*100)</f>
        <v>-35.448275862068975</v>
      </c>
      <c r="BK96" s="68">
        <f t="shared" si="9"/>
        <v>10000</v>
      </c>
      <c r="BL96" s="68"/>
      <c r="BM96" s="68"/>
      <c r="BN96" s="68"/>
      <c r="BO96" s="68"/>
      <c r="BQ96" s="5">
        <f t="shared" si="12"/>
        <v>11418131.868131869</v>
      </c>
      <c r="BR96" s="5">
        <f>IF(BQ96="","",RANK(BQ96,BQ$11:BQ$9930,1)+COUNTIF(BQ$11:BQ96,BQ96)-1)</f>
        <v>108</v>
      </c>
      <c r="BS96" s="69">
        <f t="shared" si="10"/>
        <v>108</v>
      </c>
      <c r="BT96" s="1" t="str">
        <f>IFERROR(INDEX($O$11:$O$1013,MATCH(ROWS($BS$11:BS96),$BS$11:$BS$1005,0)),"")</f>
        <v>ETQP5M6R8GAK</v>
      </c>
      <c r="BU96" s="69" t="str">
        <f t="shared" si="13"/>
        <v>ETQP5M6R8GAK</v>
      </c>
    </row>
    <row r="97" spans="1:75" ht="15">
      <c r="A97" s="1">
        <v>62</v>
      </c>
      <c r="B97" s="28" t="s">
        <v>109</v>
      </c>
      <c r="D97" s="1" t="s">
        <v>110</v>
      </c>
      <c r="E97" s="58"/>
      <c r="F97" s="1" t="s">
        <v>111</v>
      </c>
      <c r="G97" s="2" t="s">
        <v>112</v>
      </c>
      <c r="H97" s="1" t="s">
        <v>113</v>
      </c>
      <c r="I97" s="2" t="s">
        <v>114</v>
      </c>
      <c r="J97" s="1" t="s">
        <v>115</v>
      </c>
      <c r="K97" s="1" t="s">
        <v>134</v>
      </c>
      <c r="L97" s="1" t="s">
        <v>164</v>
      </c>
      <c r="M97" s="1" t="s">
        <v>165</v>
      </c>
      <c r="N97" s="1" t="s">
        <v>119</v>
      </c>
      <c r="O97" s="59" t="s">
        <v>369</v>
      </c>
      <c r="P97" s="60" t="str">
        <f>MID(All_PCC_a[[#This Row],[Part Number]],7,3)</f>
        <v>150</v>
      </c>
      <c r="Q97" s="61">
        <v>15</v>
      </c>
      <c r="R97" s="61" t="str">
        <f>IF(All_PCC_a[[#This Row],[Lo (uH)]]&lt;1,"&lt;1",IF(All_PCC_a[[#This Row],[Lo (uH)]]&lt;10,"&lt;10",IF(All_PCC_a[[#This Row],[Lo (uH)]]&lt;100,"&lt;100",IF(All_PCC_a[[#This Row],[Lo (uH)]]&lt;2000,"&lt;2000",""))))</f>
        <v>&lt;100</v>
      </c>
      <c r="S97" s="61" t="str">
        <f>IFERROR(VLOOKUP(All_PCC_a[[#This Row],[Lo (uH)]],[1]Utility!$D$5:$E$43,2,1),"-")</f>
        <v>≤  20</v>
      </c>
      <c r="T97" s="62">
        <v>0.2</v>
      </c>
      <c r="U97" s="63">
        <v>99.2</v>
      </c>
      <c r="V97" s="63">
        <v>109.12000000000002</v>
      </c>
      <c r="W97" s="61">
        <v>10</v>
      </c>
      <c r="X97" s="61">
        <v>3</v>
      </c>
      <c r="Y97" s="61">
        <v>2.5</v>
      </c>
      <c r="Z97" s="64">
        <v>5.0999999999999996</v>
      </c>
      <c r="AA97" s="61">
        <v>3.45</v>
      </c>
      <c r="AB97" s="1">
        <v>6.4</v>
      </c>
      <c r="AC97" s="1">
        <v>6</v>
      </c>
      <c r="AD97" s="61">
        <v>3</v>
      </c>
      <c r="AE97" s="1">
        <f>ROUND(All_PCC_a[[#This Row],[L (mm)]]*All_PCC_a[[#This Row],[W (mm)]],1)</f>
        <v>38.4</v>
      </c>
      <c r="AF97" s="61" t="str">
        <f>All_PCC_a[[#This Row],[L (mm)]]&amp;"  x  "&amp;All_PCC_a[[#This Row],[W (mm)]]</f>
        <v>6,4  x  6</v>
      </c>
      <c r="AG97" s="65" t="s">
        <v>156</v>
      </c>
      <c r="AH97" s="61" t="str">
        <f>IF(All_PCC_a[[#This Row],[Max Height (mm)]]&lt;=9,"≤ "&amp;ROUNDUP(AD97,0),"≤"&amp;ROUNDUP(AD97,0))</f>
        <v>≤ 3</v>
      </c>
      <c r="AI97" s="1">
        <v>-55</v>
      </c>
      <c r="AJ97" s="1">
        <v>155</v>
      </c>
      <c r="AK97" s="1" t="str">
        <f>All_PCC_a[[#This Row],[Min Temp (deg.C)]]&amp;" to +"&amp;All_PCC_a[[#This Row],[Max Temp (deg.C)]]</f>
        <v>-55 to +155</v>
      </c>
      <c r="AL97" s="1"/>
      <c r="AO97" s="61" t="s">
        <v>122</v>
      </c>
      <c r="AP97" s="61" t="str">
        <f t="shared" si="14"/>
        <v>-</v>
      </c>
      <c r="AQ97" s="61" t="s">
        <v>122</v>
      </c>
      <c r="AR97" s="61" t="s">
        <v>122</v>
      </c>
      <c r="AS97" s="1" t="s">
        <v>370</v>
      </c>
      <c r="AT97" s="1" t="s">
        <v>140</v>
      </c>
      <c r="AU97" s="1" t="e" vm="1">
        <f ca="1">_xlfn.IMAGE(All_PCC_a[[#This Row],[Image URL]])</f>
        <v>#NAME?</v>
      </c>
      <c r="AW97" s="1"/>
      <c r="AY97" s="1"/>
      <c r="BC97" s="1">
        <f>IF(Z97&lt;('[1]DCDC Ref'!$J$24/'[1]DCDC Ref'!$J$26)*'[1]DCDC Ref'!$J$28/100,0,1)</f>
        <v>1</v>
      </c>
      <c r="BD97" s="66">
        <f>IF(BC97=1000000000,"",('All Data'!Q97-'[1]DCDC Ref'!$J$30)/'[1]DCDC Ref'!$J$30*100)</f>
        <v>2273.6263736263736</v>
      </c>
      <c r="BE97" s="67">
        <f t="shared" si="11"/>
        <v>2273.6263736263736</v>
      </c>
      <c r="BF97" s="67"/>
      <c r="BG97" s="66"/>
      <c r="BH97" s="68">
        <f t="shared" si="8"/>
        <v>0</v>
      </c>
      <c r="BI97" s="67"/>
      <c r="BJ97" s="1">
        <f>IF(BC97=0,"",('All Data'!Z97-'[1]DCDC Ref'!$J$28*('[1]DCDC Ref'!$J$29/100))/'[1]DCDC Ref'!$J$28*('[1]DCDC Ref'!$J$29/100)*100)</f>
        <v>-54.27586206896553</v>
      </c>
      <c r="BK97" s="68">
        <f t="shared" si="9"/>
        <v>10000</v>
      </c>
      <c r="BL97" s="68"/>
      <c r="BM97" s="68"/>
      <c r="BN97" s="68"/>
      <c r="BO97" s="68"/>
      <c r="BQ97" s="5">
        <f t="shared" si="12"/>
        <v>11418131.868131869</v>
      </c>
      <c r="BR97" s="5">
        <f>IF(BQ97="","",RANK(BQ97,BQ$11:BQ$9930,1)+COUNTIF(BQ$11:BQ97,BQ97)-1)</f>
        <v>109</v>
      </c>
      <c r="BS97" s="69">
        <f t="shared" si="10"/>
        <v>109</v>
      </c>
      <c r="BT97" s="1" t="str">
        <f>IFERROR(INDEX($O$11:$O$1013,MATCH(ROWS($BS$11:BS97),$BS$11:$BS$1005,0)),"")</f>
        <v>ETQP4M6R8YFN</v>
      </c>
      <c r="BU97" s="69" t="str">
        <f t="shared" si="13"/>
        <v>ETQP4M6R8YFN</v>
      </c>
    </row>
    <row r="98" spans="1:75" ht="15">
      <c r="A98" s="1">
        <v>73</v>
      </c>
      <c r="B98" s="28" t="s">
        <v>109</v>
      </c>
      <c r="D98" s="1" t="s">
        <v>110</v>
      </c>
      <c r="E98" s="58"/>
      <c r="F98" s="1" t="s">
        <v>111</v>
      </c>
      <c r="G98" s="2" t="s">
        <v>112</v>
      </c>
      <c r="H98" s="1" t="s">
        <v>113</v>
      </c>
      <c r="I98" s="2" t="s">
        <v>114</v>
      </c>
      <c r="J98" s="1" t="s">
        <v>115</v>
      </c>
      <c r="K98" s="1" t="s">
        <v>134</v>
      </c>
      <c r="L98" s="1" t="s">
        <v>168</v>
      </c>
      <c r="M98" s="1" t="s">
        <v>169</v>
      </c>
      <c r="N98" s="1" t="s">
        <v>119</v>
      </c>
      <c r="O98" s="59" t="s">
        <v>371</v>
      </c>
      <c r="P98" s="60" t="str">
        <f>MID(All_PCC_a[[#This Row],[Part Number]],7,3)</f>
        <v>150</v>
      </c>
      <c r="Q98" s="61">
        <v>15</v>
      </c>
      <c r="R98" s="61" t="str">
        <f>IF(All_PCC_a[[#This Row],[Lo (uH)]]&lt;1,"&lt;1",IF(All_PCC_a[[#This Row],[Lo (uH)]]&lt;10,"&lt;10",IF(All_PCC_a[[#This Row],[Lo (uH)]]&lt;100,"&lt;100",IF(All_PCC_a[[#This Row],[Lo (uH)]]&lt;2000,"&lt;2000",""))))</f>
        <v>&lt;100</v>
      </c>
      <c r="S98" s="61" t="str">
        <f>IFERROR(VLOOKUP(All_PCC_a[[#This Row],[Lo (uH)]],[1]Utility!$D$5:$E$43,2,1),"-")</f>
        <v>≤  20</v>
      </c>
      <c r="T98" s="62">
        <v>0.2</v>
      </c>
      <c r="U98" s="63">
        <v>55</v>
      </c>
      <c r="V98" s="63">
        <v>60.500000000000007</v>
      </c>
      <c r="W98" s="61">
        <v>10</v>
      </c>
      <c r="X98" s="61">
        <v>4.5</v>
      </c>
      <c r="Y98" s="61">
        <v>3.8</v>
      </c>
      <c r="Z98" s="64">
        <v>7.6</v>
      </c>
      <c r="AA98" s="61">
        <v>5.82</v>
      </c>
      <c r="AB98" s="1">
        <v>8.4</v>
      </c>
      <c r="AC98" s="1">
        <v>8</v>
      </c>
      <c r="AD98" s="61">
        <v>4</v>
      </c>
      <c r="AE98" s="1">
        <f>ROUND(All_PCC_a[[#This Row],[L (mm)]]*All_PCC_a[[#This Row],[W (mm)]],1)</f>
        <v>67.2</v>
      </c>
      <c r="AF98" s="61" t="str">
        <f>All_PCC_a[[#This Row],[L (mm)]]&amp;"  x  "&amp;All_PCC_a[[#This Row],[W (mm)]]</f>
        <v>8,4  x  8</v>
      </c>
      <c r="AG98" s="76" t="s">
        <v>171</v>
      </c>
      <c r="AH98" s="61" t="str">
        <f>IF(All_PCC_a[[#This Row],[Max Height (mm)]]&lt;=9,"≤ "&amp;ROUNDUP(AD98,0),"≤"&amp;ROUNDUP(AD98,0))</f>
        <v>≤ 4</v>
      </c>
      <c r="AI98" s="1">
        <v>-55</v>
      </c>
      <c r="AJ98" s="1">
        <v>155</v>
      </c>
      <c r="AK98" s="1" t="str">
        <f>All_PCC_a[[#This Row],[Min Temp (deg.C)]]&amp;" to +"&amp;All_PCC_a[[#This Row],[Max Temp (deg.C)]]</f>
        <v>-55 to +155</v>
      </c>
      <c r="AL98" s="1"/>
      <c r="AO98" s="61" t="s">
        <v>122</v>
      </c>
      <c r="AP98" s="61" t="str">
        <f t="shared" si="14"/>
        <v>-</v>
      </c>
      <c r="AQ98" s="61" t="s">
        <v>122</v>
      </c>
      <c r="AR98" s="61" t="s">
        <v>122</v>
      </c>
      <c r="AS98" s="1" t="s">
        <v>372</v>
      </c>
      <c r="AT98" s="1" t="s">
        <v>140</v>
      </c>
      <c r="AU98" s="1" t="e" vm="1">
        <f ca="1">_xlfn.IMAGE(All_PCC_a[[#This Row],[Image URL]])</f>
        <v>#NAME?</v>
      </c>
      <c r="AW98" s="1"/>
      <c r="AY98" s="1"/>
      <c r="BC98" s="1">
        <f>IF(Z98&lt;('[1]DCDC Ref'!$J$24/'[1]DCDC Ref'!$J$26)*'[1]DCDC Ref'!$J$28/100,0,1)</f>
        <v>1</v>
      </c>
      <c r="BD98" s="66">
        <f>IF(BC98=1000000000,"",('All Data'!Q98-'[1]DCDC Ref'!$J$30)/'[1]DCDC Ref'!$J$30*100)</f>
        <v>2273.6263736263736</v>
      </c>
      <c r="BE98" s="67">
        <f t="shared" si="11"/>
        <v>2273.6263736263736</v>
      </c>
      <c r="BF98" s="67"/>
      <c r="BG98" s="66"/>
      <c r="BH98" s="68">
        <f t="shared" si="8"/>
        <v>0</v>
      </c>
      <c r="BI98" s="67"/>
      <c r="BJ98" s="1">
        <f>IF(BC98=0,"",('All Data'!Z98-'[1]DCDC Ref'!$J$28*('[1]DCDC Ref'!$J$29/100))/'[1]DCDC Ref'!$J$28*('[1]DCDC Ref'!$J$29/100)*100)</f>
        <v>-31.862068965517253</v>
      </c>
      <c r="BK98" s="68">
        <f t="shared" si="9"/>
        <v>10000</v>
      </c>
      <c r="BL98" s="68"/>
      <c r="BM98" s="68"/>
      <c r="BN98" s="68"/>
      <c r="BO98" s="68"/>
      <c r="BQ98" s="5">
        <f t="shared" si="12"/>
        <v>11418131.868131869</v>
      </c>
      <c r="BR98" s="5">
        <f>IF(BQ98="","",RANK(BQ98,BQ$11:BQ$9930,1)+COUNTIF(BQ$11:BQ98,BQ98)-1)</f>
        <v>110</v>
      </c>
      <c r="BS98" s="69">
        <f t="shared" si="10"/>
        <v>110</v>
      </c>
      <c r="BT98" s="1" t="str">
        <f>IFERROR(INDEX($O$11:$O$1013,MATCH(ROWS($BS$11:BS98),$BS$11:$BS$1005,0)),"")</f>
        <v>ETQP3M6R8KVP</v>
      </c>
      <c r="BU98" s="69" t="str">
        <f t="shared" si="13"/>
        <v>ETQP3M6R8KVP</v>
      </c>
    </row>
    <row r="99" spans="1:75" ht="15">
      <c r="A99" s="1">
        <v>85</v>
      </c>
      <c r="B99" s="28" t="s">
        <v>109</v>
      </c>
      <c r="D99" s="1" t="s">
        <v>110</v>
      </c>
      <c r="E99" s="58"/>
      <c r="F99" s="1" t="s">
        <v>111</v>
      </c>
      <c r="G99" s="2" t="s">
        <v>112</v>
      </c>
      <c r="H99" s="1" t="s">
        <v>113</v>
      </c>
      <c r="I99" s="2" t="s">
        <v>114</v>
      </c>
      <c r="J99" s="1" t="s">
        <v>115</v>
      </c>
      <c r="K99" s="1" t="s">
        <v>134</v>
      </c>
      <c r="L99" s="1" t="s">
        <v>191</v>
      </c>
      <c r="M99" s="1" t="s">
        <v>192</v>
      </c>
      <c r="N99" s="1" t="s">
        <v>119</v>
      </c>
      <c r="O99" s="59" t="s">
        <v>373</v>
      </c>
      <c r="P99" s="60" t="str">
        <f>MID(All_PCC_a[[#This Row],[Part Number]],7,3)</f>
        <v>150</v>
      </c>
      <c r="Q99" s="61">
        <v>15</v>
      </c>
      <c r="R99" s="61" t="str">
        <f>IF(All_PCC_a[[#This Row],[Lo (uH)]]&lt;1,"&lt;1",IF(All_PCC_a[[#This Row],[Lo (uH)]]&lt;10,"&lt;10",IF(All_PCC_a[[#This Row],[Lo (uH)]]&lt;100,"&lt;100",IF(All_PCC_a[[#This Row],[Lo (uH)]]&lt;2000,"&lt;2000",""))))</f>
        <v>&lt;100</v>
      </c>
      <c r="S99" s="61" t="str">
        <f>IFERROR(VLOOKUP(All_PCC_a[[#This Row],[Lo (uH)]],[1]Utility!$D$5:$E$43,2,1),"-")</f>
        <v>≤  20</v>
      </c>
      <c r="T99" s="62">
        <v>0.2</v>
      </c>
      <c r="U99" s="63">
        <v>37</v>
      </c>
      <c r="V99" s="63">
        <v>40.700000000000003</v>
      </c>
      <c r="W99" s="61">
        <v>10</v>
      </c>
      <c r="X99" s="61">
        <v>6.3</v>
      </c>
      <c r="Y99" s="86">
        <v>5.2</v>
      </c>
      <c r="Z99" s="87">
        <v>9.1999999999999993</v>
      </c>
      <c r="AA99" s="61">
        <v>5.96</v>
      </c>
      <c r="AB99" s="1">
        <v>10.7</v>
      </c>
      <c r="AC99" s="1">
        <v>10</v>
      </c>
      <c r="AD99" s="61">
        <v>4</v>
      </c>
      <c r="AE99" s="1">
        <f>ROUND(All_PCC_a[[#This Row],[L (mm)]]*All_PCC_a[[#This Row],[W (mm)]],1)</f>
        <v>107</v>
      </c>
      <c r="AF99" s="61" t="str">
        <f>All_PCC_a[[#This Row],[L (mm)]]&amp;"  x  "&amp;All_PCC_a[[#This Row],[W (mm)]]</f>
        <v>10,7  x  10</v>
      </c>
      <c r="AG99" s="65" t="s">
        <v>121</v>
      </c>
      <c r="AH99" s="61" t="str">
        <f>IF(All_PCC_a[[#This Row],[Max Height (mm)]]&lt;=9,"≤ "&amp;ROUNDUP(AD99,0),"≤"&amp;ROUNDUP(AD99,0))</f>
        <v>≤ 4</v>
      </c>
      <c r="AI99" s="1">
        <v>-55</v>
      </c>
      <c r="AJ99" s="1">
        <v>155</v>
      </c>
      <c r="AK99" s="1" t="str">
        <f>All_PCC_a[[#This Row],[Min Temp (deg.C)]]&amp;" to +"&amp;All_PCC_a[[#This Row],[Max Temp (deg.C)]]</f>
        <v>-55 to +155</v>
      </c>
      <c r="AL99" s="1"/>
      <c r="AO99" s="61" t="s">
        <v>122</v>
      </c>
      <c r="AP99" s="61" t="str">
        <f t="shared" si="14"/>
        <v>-</v>
      </c>
      <c r="AQ99" s="61" t="s">
        <v>122</v>
      </c>
      <c r="AR99" s="61" t="s">
        <v>122</v>
      </c>
      <c r="AS99" s="1" t="s">
        <v>374</v>
      </c>
      <c r="AT99" s="1" t="s">
        <v>140</v>
      </c>
      <c r="AU99" s="1" t="e" vm="1">
        <f ca="1">_xlfn.IMAGE(All_PCC_a[[#This Row],[Image URL]])</f>
        <v>#NAME?</v>
      </c>
      <c r="AW99" s="1"/>
      <c r="AY99" s="1"/>
      <c r="BC99" s="1">
        <f>IF(Z99&lt;('[1]DCDC Ref'!$J$24/'[1]DCDC Ref'!$J$26)*'[1]DCDC Ref'!$J$28/100,0,1)</f>
        <v>1</v>
      </c>
      <c r="BD99" s="66">
        <f>IF(BC99=1000000000,"",('All Data'!Q99-'[1]DCDC Ref'!$J$30)/'[1]DCDC Ref'!$J$30*100)</f>
        <v>2273.6263736263736</v>
      </c>
      <c r="BE99" s="67">
        <f t="shared" si="11"/>
        <v>2273.6263736263736</v>
      </c>
      <c r="BF99" s="67"/>
      <c r="BG99" s="66"/>
      <c r="BH99" s="68">
        <f t="shared" si="8"/>
        <v>0</v>
      </c>
      <c r="BI99" s="67"/>
      <c r="BJ99" s="1">
        <f>IF(BC99=0,"",('All Data'!Z99-'[1]DCDC Ref'!$J$28*('[1]DCDC Ref'!$J$29/100))/'[1]DCDC Ref'!$J$28*('[1]DCDC Ref'!$J$29/100)*100)</f>
        <v>-17.517241379310359</v>
      </c>
      <c r="BK99" s="68">
        <f t="shared" si="9"/>
        <v>10000</v>
      </c>
      <c r="BL99" s="68"/>
      <c r="BM99" s="68"/>
      <c r="BN99" s="68"/>
      <c r="BO99" s="68"/>
      <c r="BQ99" s="5">
        <f t="shared" si="12"/>
        <v>11418131.868131869</v>
      </c>
      <c r="BR99" s="5">
        <f>IF(BQ99="","",RANK(BQ99,BQ$11:BQ$9930,1)+COUNTIF(BQ$11:BQ99,BQ99)-1)</f>
        <v>111</v>
      </c>
      <c r="BS99" s="69">
        <f t="shared" si="10"/>
        <v>111</v>
      </c>
      <c r="BT99" s="1" t="str">
        <f>IFERROR(INDEX($O$11:$O$1013,MATCH(ROWS($BS$11:BS99),$BS$11:$BS$1005,0)),"")</f>
        <v>ETQP3M6R8KVN</v>
      </c>
      <c r="BU99" s="69" t="str">
        <f t="shared" si="13"/>
        <v>ETQP3M6R8KVN</v>
      </c>
    </row>
    <row r="100" spans="1:75" ht="15">
      <c r="A100" s="1">
        <v>100</v>
      </c>
      <c r="B100" s="28" t="s">
        <v>109</v>
      </c>
      <c r="D100" s="1" t="s">
        <v>110</v>
      </c>
      <c r="E100" s="58"/>
      <c r="F100" s="1" t="s">
        <v>111</v>
      </c>
      <c r="G100" s="2" t="s">
        <v>112</v>
      </c>
      <c r="H100" s="1" t="s">
        <v>113</v>
      </c>
      <c r="I100" s="2" t="s">
        <v>114</v>
      </c>
      <c r="J100" s="1" t="s">
        <v>115</v>
      </c>
      <c r="K100" s="1" t="s">
        <v>273</v>
      </c>
      <c r="L100" s="1" t="s">
        <v>274</v>
      </c>
      <c r="M100" s="1" t="s">
        <v>275</v>
      </c>
      <c r="N100" s="1" t="s">
        <v>119</v>
      </c>
      <c r="O100" s="59" t="s">
        <v>375</v>
      </c>
      <c r="P100" s="60" t="str">
        <f>MID(All_PCC_a[[#This Row],[Part Number]],7,3)</f>
        <v>150</v>
      </c>
      <c r="Q100" s="61">
        <v>15</v>
      </c>
      <c r="R100" s="61" t="str">
        <f>IF(All_PCC_a[[#This Row],[Lo (uH)]]&lt;1,"&lt;1",IF(All_PCC_a[[#This Row],[Lo (uH)]]&lt;10,"&lt;10",IF(All_PCC_a[[#This Row],[Lo (uH)]]&lt;100,"&lt;100",IF(All_PCC_a[[#This Row],[Lo (uH)]]&lt;2000,"&lt;2000",""))))</f>
        <v>&lt;100</v>
      </c>
      <c r="S100" s="61" t="str">
        <f>IFERROR(VLOOKUP(All_PCC_a[[#This Row],[Lo (uH)]],[1]Utility!$D$5:$E$43,2,1),"-")</f>
        <v>≤  20</v>
      </c>
      <c r="T100" s="62">
        <v>0.2</v>
      </c>
      <c r="U100" s="63">
        <v>63.8</v>
      </c>
      <c r="V100" s="63">
        <v>70.180000000000007</v>
      </c>
      <c r="W100" s="61">
        <v>10</v>
      </c>
      <c r="X100" s="61">
        <v>4.2</v>
      </c>
      <c r="Y100" s="86">
        <v>3.3</v>
      </c>
      <c r="Z100" s="87">
        <v>6.7</v>
      </c>
      <c r="AA100" s="61">
        <v>5</v>
      </c>
      <c r="AB100" s="1">
        <v>6.4</v>
      </c>
      <c r="AC100" s="1">
        <v>6</v>
      </c>
      <c r="AD100" s="61">
        <v>4.8</v>
      </c>
      <c r="AE100" s="1">
        <f>ROUND(All_PCC_a[[#This Row],[L (mm)]]*All_PCC_a[[#This Row],[W (mm)]],1)</f>
        <v>38.4</v>
      </c>
      <c r="AF100" s="61" t="str">
        <f>All_PCC_a[[#This Row],[L (mm)]]&amp;"  x  "&amp;All_PCC_a[[#This Row],[W (mm)]]</f>
        <v>6,4  x  6</v>
      </c>
      <c r="AG100" s="65" t="s">
        <v>156</v>
      </c>
      <c r="AH100" s="61" t="str">
        <f>IF(All_PCC_a[[#This Row],[Max Height (mm)]]&lt;=9,"≤ "&amp;ROUNDUP(AD100,0),"≤"&amp;ROUNDUP(AD100,0))</f>
        <v>≤ 5</v>
      </c>
      <c r="AI100" s="1">
        <v>-40</v>
      </c>
      <c r="AJ100" s="1">
        <v>150</v>
      </c>
      <c r="AK100" s="1" t="str">
        <f>All_PCC_a[[#This Row],[Min Temp (deg.C)]]&amp;" to +"&amp;All_PCC_a[[#This Row],[Max Temp (deg.C)]]</f>
        <v>-40 to +150</v>
      </c>
      <c r="AL100" s="1"/>
      <c r="AO100" s="61" t="s">
        <v>122</v>
      </c>
      <c r="AP100" s="61" t="str">
        <f t="shared" si="14"/>
        <v>-</v>
      </c>
      <c r="AQ100" s="61" t="s">
        <v>122</v>
      </c>
      <c r="AR100" s="61" t="s">
        <v>122</v>
      </c>
      <c r="AS100" s="1" t="s">
        <v>376</v>
      </c>
      <c r="AT100" s="1" t="s">
        <v>278</v>
      </c>
      <c r="AU100" s="1" t="e" vm="1">
        <f ca="1">_xlfn.IMAGE(All_PCC_a[[#This Row],[Image URL]])</f>
        <v>#NAME?</v>
      </c>
      <c r="AW100" s="1"/>
      <c r="AY100" s="1"/>
      <c r="BC100" s="1">
        <f>IF(Z100&lt;('[1]DCDC Ref'!$J$24/'[1]DCDC Ref'!$J$26)*'[1]DCDC Ref'!$J$28/100,0,1)</f>
        <v>1</v>
      </c>
      <c r="BD100" s="66">
        <f>IF(BC100=1000000000,"",('All Data'!Q100-'[1]DCDC Ref'!$J$30)/'[1]DCDC Ref'!$J$30*100)</f>
        <v>2273.6263736263736</v>
      </c>
      <c r="BE100" s="67">
        <f t="shared" si="11"/>
        <v>2273.6263736263736</v>
      </c>
      <c r="BF100" s="67"/>
      <c r="BG100" s="66"/>
      <c r="BH100" s="68">
        <f t="shared" si="8"/>
        <v>0</v>
      </c>
      <c r="BI100" s="67"/>
      <c r="BJ100" s="1">
        <f>IF(BC100=0,"",('All Data'!Z100-'[1]DCDC Ref'!$J$28*('[1]DCDC Ref'!$J$29/100))/'[1]DCDC Ref'!$J$28*('[1]DCDC Ref'!$J$29/100)*100)</f>
        <v>-39.931034482758626</v>
      </c>
      <c r="BK100" s="68">
        <f t="shared" si="9"/>
        <v>10000</v>
      </c>
      <c r="BL100" s="68"/>
      <c r="BM100" s="68"/>
      <c r="BN100" s="68"/>
      <c r="BO100" s="68"/>
      <c r="BQ100" s="5">
        <f t="shared" si="12"/>
        <v>11418131.868131869</v>
      </c>
      <c r="BR100" s="5">
        <f>IF(BQ100="","",RANK(BQ100,BQ$11:BQ$9930,1)+COUNTIF(BQ$11:BQ100,BQ100)-1)</f>
        <v>112</v>
      </c>
      <c r="BS100" s="69">
        <f t="shared" si="10"/>
        <v>112</v>
      </c>
      <c r="BT100" s="1" t="str">
        <f>IFERROR(INDEX($O$11:$O$1013,MATCH(ROWS($BS$11:BS100),$BS$11:$BS$1005,0)),"")</f>
        <v>ETQP4M6R8KVK</v>
      </c>
      <c r="BU100" s="69" t="str">
        <f t="shared" si="13"/>
        <v>ETQP4M6R8KVK</v>
      </c>
    </row>
    <row r="101" spans="1:75">
      <c r="A101" s="1">
        <v>122</v>
      </c>
      <c r="B101" s="28" t="s">
        <v>109</v>
      </c>
      <c r="C101" s="24">
        <v>44883</v>
      </c>
      <c r="D101" s="1" t="s">
        <v>110</v>
      </c>
      <c r="E101" s="2"/>
      <c r="F101" s="1" t="s">
        <v>357</v>
      </c>
      <c r="G101" s="2" t="s">
        <v>112</v>
      </c>
      <c r="H101" s="1" t="s">
        <v>113</v>
      </c>
      <c r="I101" s="2" t="s">
        <v>114</v>
      </c>
      <c r="J101" s="1" t="s">
        <v>115</v>
      </c>
      <c r="K101" s="1" t="s">
        <v>377</v>
      </c>
      <c r="L101" s="1" t="s">
        <v>314</v>
      </c>
      <c r="M101" s="1" t="s">
        <v>315</v>
      </c>
      <c r="N101" s="1" t="s">
        <v>119</v>
      </c>
      <c r="O101" s="59" t="s">
        <v>378</v>
      </c>
      <c r="P101" s="60" t="str">
        <f>MID(All_PCC_a[[#This Row],[Part Number]],7,3)</f>
        <v>150</v>
      </c>
      <c r="Q101" s="61">
        <v>15</v>
      </c>
      <c r="R101" s="71" t="str">
        <f>IF(All_PCC_a[[#This Row],[Lo (uH)]]&lt;1,"&lt;1",IF(All_PCC_a[[#This Row],[Lo (uH)]]&lt;10,"&lt;10",IF(All_PCC_a[[#This Row],[Lo (uH)]]&lt;100,"&lt;100",IF(All_PCC_a[[#This Row],[Lo (uH)]]&lt;2000,"&lt;2000",""))))</f>
        <v>&lt;100</v>
      </c>
      <c r="S101" s="61" t="str">
        <f>IFERROR(VLOOKUP(All_PCC_a[[#This Row],[Lo (uH)]],[1]Utility!$D$5:$E$43,2,1),"-")</f>
        <v>≤  20</v>
      </c>
      <c r="T101" s="62">
        <v>0.2</v>
      </c>
      <c r="U101" s="70">
        <v>60.7</v>
      </c>
      <c r="V101" s="70">
        <v>66.77</v>
      </c>
      <c r="W101" s="61">
        <v>10</v>
      </c>
      <c r="X101" s="71">
        <v>4.5999999999999996</v>
      </c>
      <c r="Y101" s="61">
        <v>3.4</v>
      </c>
      <c r="Z101" s="64">
        <v>7.2</v>
      </c>
      <c r="AA101" s="61">
        <v>5.2</v>
      </c>
      <c r="AB101" s="1">
        <v>7.4</v>
      </c>
      <c r="AC101" s="1">
        <v>7</v>
      </c>
      <c r="AD101" s="61">
        <v>4.8</v>
      </c>
      <c r="AE101" s="1">
        <f>ROUND(All_PCC_a[[#This Row],[L (mm)]]*All_PCC_a[[#This Row],[W (mm)]],1)</f>
        <v>51.8</v>
      </c>
      <c r="AF101" s="61" t="str">
        <f>All_PCC_a[[#This Row],[L (mm)]]&amp;"  x  "&amp;All_PCC_a[[#This Row],[W (mm)]]</f>
        <v>7,4  x  7</v>
      </c>
      <c r="AG101" s="74" t="s">
        <v>282</v>
      </c>
      <c r="AH101" s="61" t="str">
        <f>IF(All_PCC_a[[#This Row],[Max Height (mm)]]&lt;=9,"≤ "&amp;ROUNDUP(AD101,0),"≤"&amp;ROUNDUP(AD101,0))</f>
        <v>≤ 5</v>
      </c>
      <c r="AI101" s="1">
        <v>-40</v>
      </c>
      <c r="AJ101" s="1">
        <v>150</v>
      </c>
      <c r="AK101" s="1" t="str">
        <f>All_PCC_a[[#This Row],[Min Temp (deg.C)]]&amp;" to +"&amp;All_PCC_a[[#This Row],[Max Temp (deg.C)]]</f>
        <v>-40 to +150</v>
      </c>
      <c r="AL101" s="1"/>
      <c r="AO101" s="61" t="s">
        <v>122</v>
      </c>
      <c r="AP101" s="71" t="str">
        <f t="shared" si="14"/>
        <v>-</v>
      </c>
      <c r="AQ101" s="61" t="s">
        <v>122</v>
      </c>
      <c r="AR101" s="61" t="s">
        <v>122</v>
      </c>
      <c r="AS101" s="1" t="s">
        <v>379</v>
      </c>
      <c r="AT101" s="1" t="s">
        <v>278</v>
      </c>
      <c r="AU101" s="1" t="e" vm="1">
        <f ca="1">_xlfn.IMAGE(All_PCC_a[[#This Row],[Image URL]])</f>
        <v>#NAME?</v>
      </c>
      <c r="AW101" s="1"/>
      <c r="AY101" s="1"/>
      <c r="BC101" s="1">
        <f>IF(Z101&lt;('[1]DCDC Ref'!$J$24/'[1]DCDC Ref'!$J$26)*'[1]DCDC Ref'!$J$28/100,0,1)</f>
        <v>1</v>
      </c>
      <c r="BD101" s="66">
        <f>IF(BC101=1000000000,"",('All Data'!Q101-'[1]DCDC Ref'!$J$30)/'[1]DCDC Ref'!$J$30*100)</f>
        <v>2273.6263736263736</v>
      </c>
      <c r="BE101" s="67">
        <f t="shared" si="11"/>
        <v>2273.6263736263736</v>
      </c>
      <c r="BF101" s="67"/>
      <c r="BG101" s="66"/>
      <c r="BH101" s="68">
        <f t="shared" si="8"/>
        <v>0</v>
      </c>
      <c r="BI101" s="67"/>
      <c r="BJ101" s="1">
        <f>IF(BC101=0,"",('All Data'!Z101-'[1]DCDC Ref'!$J$28*('[1]DCDC Ref'!$J$29/100))/'[1]DCDC Ref'!$J$28*('[1]DCDC Ref'!$J$29/100)*100)</f>
        <v>-35.448275862068975</v>
      </c>
      <c r="BK101" s="68">
        <f t="shared" si="9"/>
        <v>10000</v>
      </c>
      <c r="BL101" s="68"/>
      <c r="BM101" s="68"/>
      <c r="BN101" s="68"/>
      <c r="BO101" s="68"/>
      <c r="BQ101" s="5">
        <f t="shared" si="12"/>
        <v>11418131.868131869</v>
      </c>
      <c r="BR101" s="5">
        <f>IF(BQ101="","",RANK(BQ101,BQ$11:BQ$9930,1)+COUNTIF(BQ$11:BQ101,BQ101)-1)</f>
        <v>113</v>
      </c>
      <c r="BS101" s="69">
        <f t="shared" si="10"/>
        <v>113</v>
      </c>
      <c r="BT101" s="1" t="str">
        <f>IFERROR(INDEX($O$11:$O$1013,MATCH(ROWS($BS$11:BS101),$BS$11:$BS$1005,0)),"")</f>
        <v>ETQP4M6R8KFN</v>
      </c>
      <c r="BU101" s="69" t="str">
        <f t="shared" si="13"/>
        <v>ETQP4M6R8KFN</v>
      </c>
    </row>
    <row r="102" spans="1:75">
      <c r="A102" s="1">
        <v>6</v>
      </c>
      <c r="B102" s="28" t="s">
        <v>109</v>
      </c>
      <c r="D102" s="1" t="s">
        <v>110</v>
      </c>
      <c r="E102" s="58"/>
      <c r="F102" s="1" t="s">
        <v>111</v>
      </c>
      <c r="G102" s="2" t="s">
        <v>112</v>
      </c>
      <c r="H102" s="1" t="s">
        <v>113</v>
      </c>
      <c r="I102" s="2" t="s">
        <v>114</v>
      </c>
      <c r="J102" s="1" t="s">
        <v>115</v>
      </c>
      <c r="K102" s="1" t="s">
        <v>116</v>
      </c>
      <c r="L102" s="1" t="s">
        <v>236</v>
      </c>
      <c r="M102" s="1" t="s">
        <v>254</v>
      </c>
      <c r="N102" s="1" t="s">
        <v>119</v>
      </c>
      <c r="O102" s="59" t="s">
        <v>380</v>
      </c>
      <c r="P102" s="60" t="str">
        <f>MID(All_PCC_a[[#This Row],[Part Number]],7,3)</f>
        <v>220</v>
      </c>
      <c r="Q102" s="61">
        <v>22</v>
      </c>
      <c r="R102" s="61" t="str">
        <f>IF(All_PCC_a[[#This Row],[Lo (uH)]]&lt;1,"&lt;1",IF(All_PCC_a[[#This Row],[Lo (uH)]]&lt;10,"&lt;10",IF(All_PCC_a[[#This Row],[Lo (uH)]]&lt;100,"&lt;100",IF(All_PCC_a[[#This Row],[Lo (uH)]]&lt;2000,"&lt;2000",""))))</f>
        <v>&lt;100</v>
      </c>
      <c r="S102" s="61" t="str">
        <f>IFERROR(VLOOKUP(All_PCC_a[[#This Row],[Lo (uH)]],[1]Utility!$D$5:$E$43,2,1),"-")</f>
        <v>≤  30</v>
      </c>
      <c r="T102" s="62">
        <v>0.2</v>
      </c>
      <c r="U102" s="70">
        <v>126</v>
      </c>
      <c r="V102" s="70">
        <v>138.6</v>
      </c>
      <c r="W102" s="61">
        <v>10</v>
      </c>
      <c r="X102" s="61">
        <v>2.9</v>
      </c>
      <c r="Y102" s="61">
        <v>2.2999999999999998</v>
      </c>
      <c r="Z102" s="64">
        <v>6</v>
      </c>
      <c r="AA102" s="61">
        <v>3.94</v>
      </c>
      <c r="AB102" s="1">
        <v>6.5</v>
      </c>
      <c r="AC102" s="1">
        <v>6</v>
      </c>
      <c r="AD102" s="61">
        <v>4.5</v>
      </c>
      <c r="AE102" s="1">
        <f>ROUND(All_PCC_a[[#This Row],[L (mm)]]*All_PCC_a[[#This Row],[W (mm)]],1)</f>
        <v>39</v>
      </c>
      <c r="AF102" s="61" t="str">
        <f>All_PCC_a[[#This Row],[L (mm)]]&amp;"  x  "&amp;All_PCC_a[[#This Row],[W (mm)]]</f>
        <v>6,5  x  6</v>
      </c>
      <c r="AG102" s="65" t="s">
        <v>156</v>
      </c>
      <c r="AH102" s="61" t="str">
        <f>IF(All_PCC_a[[#This Row],[Max Height (mm)]]&lt;=9,"≤ "&amp;ROUNDUP(AD102,0),"≤"&amp;ROUNDUP(AD102,0))</f>
        <v>≤ 5</v>
      </c>
      <c r="AI102" s="1">
        <v>-40</v>
      </c>
      <c r="AJ102" s="1">
        <v>150</v>
      </c>
      <c r="AK102" s="1" t="str">
        <f>All_PCC_a[[#This Row],[Min Temp (deg.C)]]&amp;" to +"&amp;All_PCC_a[[#This Row],[Max Temp (deg.C)]]</f>
        <v>-40 to +150</v>
      </c>
      <c r="AL102" s="1"/>
      <c r="AO102" s="61" t="s">
        <v>122</v>
      </c>
      <c r="AP102" s="61" t="str">
        <f t="shared" si="14"/>
        <v>-</v>
      </c>
      <c r="AQ102" s="61" t="s">
        <v>122</v>
      </c>
      <c r="AR102" s="61" t="s">
        <v>122</v>
      </c>
      <c r="AS102" s="1" t="s">
        <v>381</v>
      </c>
      <c r="AT102" s="1" t="s">
        <v>124</v>
      </c>
      <c r="AU102" s="1" t="e" vm="1">
        <f ca="1">_xlfn.IMAGE(All_PCC_a[[#This Row],[Image URL]])</f>
        <v>#NAME?</v>
      </c>
      <c r="AW102" s="1"/>
      <c r="AY102" s="1"/>
      <c r="BC102" s="1">
        <f>IF(Z102&lt;('[1]DCDC Ref'!$J$24/'[1]DCDC Ref'!$J$26)*'[1]DCDC Ref'!$J$28/100,0,1)</f>
        <v>1</v>
      </c>
      <c r="BD102" s="66">
        <f>IF(BC102=1000000000,"",('All Data'!Q102-'[1]DCDC Ref'!$J$30)/'[1]DCDC Ref'!$J$30*100)</f>
        <v>3381.3186813186817</v>
      </c>
      <c r="BE102" s="67">
        <f t="shared" si="11"/>
        <v>3381.3186813186817</v>
      </c>
      <c r="BF102" s="67"/>
      <c r="BG102" s="66"/>
      <c r="BH102" s="68">
        <f t="shared" si="8"/>
        <v>0</v>
      </c>
      <c r="BI102" s="67"/>
      <c r="BJ102" s="1">
        <f>IF(BC102=0,"",('All Data'!Z102-'[1]DCDC Ref'!$J$28*('[1]DCDC Ref'!$J$29/100))/'[1]DCDC Ref'!$J$28*('[1]DCDC Ref'!$J$29/100)*100)</f>
        <v>-46.206896551724142</v>
      </c>
      <c r="BK102" s="68">
        <f t="shared" si="9"/>
        <v>10000</v>
      </c>
      <c r="BL102" s="68"/>
      <c r="BM102" s="68"/>
      <c r="BN102" s="68"/>
      <c r="BO102" s="68"/>
      <c r="BQ102" s="5">
        <f t="shared" si="12"/>
        <v>16956593.406593408</v>
      </c>
      <c r="BR102" s="5">
        <f>IF(BQ102="","",RANK(BQ102,BQ$11:BQ$9930,1)+COUNTIF(BQ$11:BQ102,BQ102)-1)</f>
        <v>115</v>
      </c>
      <c r="BS102" s="69">
        <f t="shared" si="10"/>
        <v>115</v>
      </c>
      <c r="BT102" s="1" t="str">
        <f>IFERROR(INDEX($O$11:$O$1013,MATCH(ROWS($BS$11:BS102),$BS$11:$BS$1005,0)),"")</f>
        <v>ETQP5M100YFK</v>
      </c>
      <c r="BU102" s="69" t="str">
        <f t="shared" si="13"/>
        <v>ETQP5M100YFK</v>
      </c>
    </row>
    <row r="103" spans="1:75">
      <c r="A103" s="1">
        <v>12</v>
      </c>
      <c r="B103" s="28" t="s">
        <v>109</v>
      </c>
      <c r="D103" s="1" t="s">
        <v>110</v>
      </c>
      <c r="E103" s="58"/>
      <c r="F103" s="1" t="s">
        <v>111</v>
      </c>
      <c r="G103" s="2" t="s">
        <v>112</v>
      </c>
      <c r="H103" s="1" t="s">
        <v>113</v>
      </c>
      <c r="I103" s="2" t="s">
        <v>114</v>
      </c>
      <c r="J103" s="1" t="s">
        <v>115</v>
      </c>
      <c r="K103" s="1" t="s">
        <v>116</v>
      </c>
      <c r="L103" s="1" t="s">
        <v>291</v>
      </c>
      <c r="M103" s="1" t="s">
        <v>292</v>
      </c>
      <c r="N103" s="1" t="s">
        <v>154</v>
      </c>
      <c r="O103" s="59" t="s">
        <v>382</v>
      </c>
      <c r="P103" s="60" t="str">
        <f>MID(All_PCC_a[[#This Row],[Part Number]],7,3)</f>
        <v>220</v>
      </c>
      <c r="Q103" s="85">
        <v>22</v>
      </c>
      <c r="R103" s="61" t="str">
        <f>IF(All_PCC_a[[#This Row],[Lo (uH)]]&lt;1,"&lt;1",IF(All_PCC_a[[#This Row],[Lo (uH)]]&lt;10,"&lt;10",IF(All_PCC_a[[#This Row],[Lo (uH)]]&lt;100,"&lt;100",IF(All_PCC_a[[#This Row],[Lo (uH)]]&lt;2000,"&lt;2000",""))))</f>
        <v>&lt;100</v>
      </c>
      <c r="S103" s="61" t="str">
        <f>IFERROR(VLOOKUP(All_PCC_a[[#This Row],[Lo (uH)]],[1]Utility!$D$5:$E$43,2,1),"-")</f>
        <v>≤  30</v>
      </c>
      <c r="T103" s="62">
        <v>0.2</v>
      </c>
      <c r="U103" s="70">
        <v>163</v>
      </c>
      <c r="V103" s="70">
        <v>179</v>
      </c>
      <c r="W103" s="61">
        <v>10</v>
      </c>
      <c r="X103" s="61">
        <v>2.2999999999999998</v>
      </c>
      <c r="Y103" s="61">
        <v>1.9</v>
      </c>
      <c r="Z103" s="64">
        <v>3.1</v>
      </c>
      <c r="AA103" s="61">
        <v>2.35</v>
      </c>
      <c r="AB103" s="1">
        <v>5.5</v>
      </c>
      <c r="AC103" s="1">
        <v>5</v>
      </c>
      <c r="AD103" s="61">
        <v>4</v>
      </c>
      <c r="AE103" s="1">
        <f>ROUND(All_PCC_a[[#This Row],[L (mm)]]*All_PCC_a[[#This Row],[W (mm)]],1)</f>
        <v>27.5</v>
      </c>
      <c r="AF103" s="61" t="str">
        <f>All_PCC_a[[#This Row],[L (mm)]]&amp;"  x  "&amp;All_PCC_a[[#This Row],[W (mm)]]</f>
        <v>5,5  x  5</v>
      </c>
      <c r="AG103" s="65" t="s">
        <v>138</v>
      </c>
      <c r="AH103" s="61" t="str">
        <f>IF(All_PCC_a[[#This Row],[Max Height (mm)]]&lt;=9,"≤ "&amp;ROUNDUP(AD103,0),"≤"&amp;ROUNDUP(AD103,0))</f>
        <v>≤ 4</v>
      </c>
      <c r="AI103" s="11">
        <v>-40</v>
      </c>
      <c r="AJ103" s="11">
        <v>150</v>
      </c>
      <c r="AK103" s="1" t="str">
        <f>All_PCC_a[[#This Row],[Min Temp (deg.C)]]&amp;" to +"&amp;All_PCC_a[[#This Row],[Max Temp (deg.C)]]</f>
        <v>-40 to +150</v>
      </c>
      <c r="AL103" s="1"/>
      <c r="AO103" s="61" t="s">
        <v>144</v>
      </c>
      <c r="AP103" s="61" t="str">
        <f t="shared" si="14"/>
        <v>-</v>
      </c>
      <c r="AQ103" s="62" t="s">
        <v>122</v>
      </c>
      <c r="AR103" s="61" t="s">
        <v>122</v>
      </c>
      <c r="AS103" s="1" t="s">
        <v>383</v>
      </c>
      <c r="AT103" s="1" t="s">
        <v>124</v>
      </c>
      <c r="AU103" s="1" t="e" vm="1">
        <f ca="1">_xlfn.IMAGE(All_PCC_a[[#This Row],[Image URL]])</f>
        <v>#NAME?</v>
      </c>
      <c r="AW103" s="1"/>
      <c r="AY103" s="1"/>
      <c r="BC103" s="1">
        <f>IF(Z103&lt;('[1]DCDC Ref'!$J$24/'[1]DCDC Ref'!$J$26)*'[1]DCDC Ref'!$J$28/100,0,1)</f>
        <v>1</v>
      </c>
      <c r="BD103" s="66">
        <f>IF(BC103=1000000000,"",('All Data'!Q103-'[1]DCDC Ref'!$J$30)/'[1]DCDC Ref'!$J$30*100)</f>
        <v>3381.3186813186817</v>
      </c>
      <c r="BE103" s="67">
        <f t="shared" si="11"/>
        <v>3381.3186813186817</v>
      </c>
      <c r="BF103" s="67"/>
      <c r="BG103" s="66"/>
      <c r="BH103" s="68">
        <f t="shared" si="8"/>
        <v>0</v>
      </c>
      <c r="BI103" s="67"/>
      <c r="BJ103" s="1">
        <f>IF(BC103=0,"",('All Data'!Z103-'[1]DCDC Ref'!$J$28*('[1]DCDC Ref'!$J$29/100))/'[1]DCDC Ref'!$J$28*('[1]DCDC Ref'!$J$29/100)*100)</f>
        <v>-72.206896551724142</v>
      </c>
      <c r="BK103" s="68">
        <f t="shared" si="9"/>
        <v>10000</v>
      </c>
      <c r="BL103" s="68"/>
      <c r="BM103" s="68"/>
      <c r="BN103" s="68"/>
      <c r="BO103" s="68"/>
      <c r="BQ103" s="5">
        <f t="shared" si="12"/>
        <v>16956593.406593408</v>
      </c>
      <c r="BR103" s="5">
        <f>IF(BQ103="","",RANK(BQ103,BQ$11:BQ$9930,1)+COUNTIF(BQ$11:BQ103,BQ103)-1)</f>
        <v>116</v>
      </c>
      <c r="BS103" s="69">
        <f t="shared" si="10"/>
        <v>116</v>
      </c>
      <c r="BT103" s="1" t="str">
        <f>IFERROR(INDEX($O$11:$O$1013,MATCH(ROWS($BS$11:BS103),$BS$11:$BS$1005,0)),"")</f>
        <v>ETQP6M100GAC</v>
      </c>
      <c r="BU103" s="69" t="str">
        <f t="shared" si="13"/>
        <v>ETQP6M100GAC</v>
      </c>
    </row>
    <row r="104" spans="1:75" ht="15">
      <c r="A104" s="1">
        <v>19</v>
      </c>
      <c r="B104" s="28" t="s">
        <v>109</v>
      </c>
      <c r="D104" s="1" t="s">
        <v>110</v>
      </c>
      <c r="E104" s="58"/>
      <c r="F104" s="1" t="s">
        <v>111</v>
      </c>
      <c r="G104" s="104" t="s">
        <v>112</v>
      </c>
      <c r="H104" s="105" t="s">
        <v>113</v>
      </c>
      <c r="I104" s="104" t="s">
        <v>114</v>
      </c>
      <c r="J104" s="105" t="s">
        <v>115</v>
      </c>
      <c r="K104" s="1" t="s">
        <v>116</v>
      </c>
      <c r="L104" s="1" t="s">
        <v>195</v>
      </c>
      <c r="M104" s="1" t="s">
        <v>196</v>
      </c>
      <c r="N104" s="105" t="s">
        <v>154</v>
      </c>
      <c r="O104" s="96" t="s">
        <v>384</v>
      </c>
      <c r="P104" s="60" t="str">
        <f>MID(All_PCC_a[[#This Row],[Part Number]],7,3)</f>
        <v>220</v>
      </c>
      <c r="Q104" s="85">
        <v>22</v>
      </c>
      <c r="R104" s="61" t="str">
        <f>IF(All_PCC_a[[#This Row],[Lo (uH)]]&lt;1,"&lt;1",IF(All_PCC_a[[#This Row],[Lo (uH)]]&lt;10,"&lt;10",IF(All_PCC_a[[#This Row],[Lo (uH)]]&lt;100,"&lt;100",IF(All_PCC_a[[#This Row],[Lo (uH)]]&lt;2000,"&lt;2000",""))))</f>
        <v>&lt;100</v>
      </c>
      <c r="S104" s="61" t="str">
        <f>IFERROR(VLOOKUP(All_PCC_a[[#This Row],[Lo (uH)]],[1]Utility!$D$5:$E$43,2,1),"-")</f>
        <v>≤  30</v>
      </c>
      <c r="T104" s="106">
        <v>0.2</v>
      </c>
      <c r="U104" s="95">
        <v>45</v>
      </c>
      <c r="V104" s="95">
        <v>50</v>
      </c>
      <c r="W104" s="85">
        <v>10</v>
      </c>
      <c r="X104" s="61">
        <v>6.2</v>
      </c>
      <c r="Y104" s="85">
        <v>5.2</v>
      </c>
      <c r="Z104" s="107">
        <v>9.1999999999999993</v>
      </c>
      <c r="AA104" s="77">
        <v>6.64</v>
      </c>
      <c r="AB104" s="1">
        <v>10.7</v>
      </c>
      <c r="AC104" s="1">
        <v>10</v>
      </c>
      <c r="AD104" s="85">
        <v>5.4</v>
      </c>
      <c r="AE104" s="1">
        <f>ROUND(All_PCC_a[[#This Row],[L (mm)]]*All_PCC_a[[#This Row],[W (mm)]],1)</f>
        <v>107</v>
      </c>
      <c r="AF104" s="61" t="str">
        <f>All_PCC_a[[#This Row],[L (mm)]]&amp;"  x  "&amp;All_PCC_a[[#This Row],[W (mm)]]</f>
        <v>10,7  x  10</v>
      </c>
      <c r="AG104" s="108" t="s">
        <v>121</v>
      </c>
      <c r="AH104" s="85" t="str">
        <f>IF(All_PCC_a[[#This Row],[Max Height (mm)]]&lt;=9,"≤ "&amp;ROUNDUP(AD104,0),"≤"&amp;ROUNDUP(AD104,0))</f>
        <v>≤ 6</v>
      </c>
      <c r="AI104" s="11">
        <v>-40</v>
      </c>
      <c r="AJ104" s="11">
        <v>150</v>
      </c>
      <c r="AK104" s="1" t="str">
        <f>All_PCC_a[[#This Row],[Min Temp (deg.C)]]&amp;" to +"&amp;All_PCC_a[[#This Row],[Max Temp (deg.C)]]</f>
        <v>-40 to +150</v>
      </c>
      <c r="AL104" s="1"/>
      <c r="AO104" s="85" t="s">
        <v>144</v>
      </c>
      <c r="AP104" s="85" t="str">
        <f t="shared" si="14"/>
        <v>-</v>
      </c>
      <c r="AQ104" s="61" t="s">
        <v>122</v>
      </c>
      <c r="AR104" s="61" t="s">
        <v>122</v>
      </c>
      <c r="AS104" s="1" t="s">
        <v>385</v>
      </c>
      <c r="AT104" s="1" t="s">
        <v>124</v>
      </c>
      <c r="AU104" s="1" t="e" vm="1">
        <f ca="1">_xlfn.IMAGE(All_PCC_a[[#This Row],[Image URL]])</f>
        <v>#NAME?</v>
      </c>
      <c r="AW104" s="1"/>
      <c r="AY104" s="1"/>
      <c r="BC104" s="1">
        <f>IF(Z104&lt;('[1]DCDC Ref'!$J$24/'[1]DCDC Ref'!$J$26)*'[1]DCDC Ref'!$J$28/100,0,1)</f>
        <v>1</v>
      </c>
      <c r="BD104" s="66">
        <f>IF(BC104=1000000000,"",('All Data'!Q104-'[1]DCDC Ref'!$J$30)/'[1]DCDC Ref'!$J$30*100)</f>
        <v>3381.3186813186817</v>
      </c>
      <c r="BE104" s="67">
        <f t="shared" si="11"/>
        <v>3381.3186813186817</v>
      </c>
      <c r="BF104" s="67"/>
      <c r="BG104" s="66"/>
      <c r="BH104" s="68">
        <f t="shared" si="8"/>
        <v>0</v>
      </c>
      <c r="BI104" s="67"/>
      <c r="BJ104" s="1">
        <f>IF(BC104=0,"",('All Data'!Z104-'[1]DCDC Ref'!$J$28*('[1]DCDC Ref'!$J$29/100))/'[1]DCDC Ref'!$J$28*('[1]DCDC Ref'!$J$29/100)*100)</f>
        <v>-17.517241379310359</v>
      </c>
      <c r="BK104" s="68">
        <f t="shared" si="9"/>
        <v>10000</v>
      </c>
      <c r="BL104" s="68"/>
      <c r="BM104" s="68"/>
      <c r="BN104" s="68"/>
      <c r="BO104" s="68"/>
      <c r="BQ104" s="5">
        <f t="shared" si="12"/>
        <v>16956593.406593408</v>
      </c>
      <c r="BR104" s="5">
        <f>IF(BQ104="","",RANK(BQ104,BQ$11:BQ$9930,1)+COUNTIF(BQ$11:BQ104,BQ104)-1)</f>
        <v>117</v>
      </c>
      <c r="BS104" s="69">
        <f t="shared" si="10"/>
        <v>117</v>
      </c>
      <c r="BT104" s="1" t="str">
        <f>IFERROR(INDEX($O$11:$O$1013,MATCH(ROWS($BS$11:BS104),$BS$11:$BS$1005,0)),"")</f>
        <v>ETQP4M100YFN</v>
      </c>
      <c r="BU104" s="69" t="str">
        <f t="shared" si="13"/>
        <v>ETQP4M100YFN</v>
      </c>
    </row>
    <row r="105" spans="1:75" s="75" customFormat="1" ht="15">
      <c r="A105" s="1">
        <v>27</v>
      </c>
      <c r="B105" s="28" t="s">
        <v>109</v>
      </c>
      <c r="C105" s="1"/>
      <c r="D105" s="1" t="s">
        <v>110</v>
      </c>
      <c r="E105" s="58"/>
      <c r="F105" s="1" t="s">
        <v>111</v>
      </c>
      <c r="G105" s="2" t="s">
        <v>112</v>
      </c>
      <c r="H105" s="1" t="s">
        <v>113</v>
      </c>
      <c r="I105" s="2" t="s">
        <v>114</v>
      </c>
      <c r="J105" s="1" t="s">
        <v>115</v>
      </c>
      <c r="K105" s="1" t="s">
        <v>116</v>
      </c>
      <c r="L105" s="1" t="s">
        <v>246</v>
      </c>
      <c r="M105" s="1" t="s">
        <v>247</v>
      </c>
      <c r="N105" s="1" t="s">
        <v>154</v>
      </c>
      <c r="O105" s="59" t="s">
        <v>386</v>
      </c>
      <c r="P105" s="60" t="str">
        <f>MID(All_PCC_a[[#This Row],[Part Number]],7,3)</f>
        <v>220</v>
      </c>
      <c r="Q105" s="61">
        <v>22</v>
      </c>
      <c r="R105" s="61" t="str">
        <f>IF(All_PCC_a[[#This Row],[Lo (uH)]]&lt;1,"&lt;1",IF(All_PCC_a[[#This Row],[Lo (uH)]]&lt;10,"&lt;10",IF(All_PCC_a[[#This Row],[Lo (uH)]]&lt;100,"&lt;100",IF(All_PCC_a[[#This Row],[Lo (uH)]]&lt;2000,"&lt;2000",""))))</f>
        <v>&lt;100</v>
      </c>
      <c r="S105" s="61" t="str">
        <f>IFERROR(VLOOKUP(All_PCC_a[[#This Row],[Lo (uH)]],[1]Utility!$D$5:$E$43,2,1),"-")</f>
        <v>≤  30</v>
      </c>
      <c r="T105" s="62">
        <v>0.2</v>
      </c>
      <c r="U105" s="63">
        <v>63</v>
      </c>
      <c r="V105" s="63">
        <v>70</v>
      </c>
      <c r="W105" s="61">
        <v>10</v>
      </c>
      <c r="X105" s="61">
        <v>4.8</v>
      </c>
      <c r="Y105" s="61">
        <v>4.0999999999999996</v>
      </c>
      <c r="Z105" s="64">
        <v>6.9</v>
      </c>
      <c r="AA105" s="61">
        <v>4.92</v>
      </c>
      <c r="AB105" s="1">
        <v>8.5</v>
      </c>
      <c r="AC105" s="1">
        <v>8</v>
      </c>
      <c r="AD105" s="61">
        <v>5.4</v>
      </c>
      <c r="AE105" s="1">
        <f>ROUND(All_PCC_a[[#This Row],[L (mm)]]*All_PCC_a[[#This Row],[W (mm)]],1)</f>
        <v>68</v>
      </c>
      <c r="AF105" s="61" t="str">
        <f>All_PCC_a[[#This Row],[L (mm)]]&amp;"  x  "&amp;All_PCC_a[[#This Row],[W (mm)]]</f>
        <v>8,5  x  8</v>
      </c>
      <c r="AG105" s="76" t="s">
        <v>171</v>
      </c>
      <c r="AH105" s="61" t="str">
        <f>IF(All_PCC_a[[#This Row],[Max Height (mm)]]&lt;=9,"≤ "&amp;ROUNDUP(AD105,0),"≤"&amp;ROUNDUP(AD105,0))</f>
        <v>≤ 6</v>
      </c>
      <c r="AI105" s="11">
        <v>-40</v>
      </c>
      <c r="AJ105" s="11">
        <v>150</v>
      </c>
      <c r="AK105" s="1" t="str">
        <f>All_PCC_a[[#This Row],[Min Temp (deg.C)]]&amp;" to +"&amp;All_PCC_a[[#This Row],[Max Temp (deg.C)]]</f>
        <v>-40 to +150</v>
      </c>
      <c r="AL105" s="1"/>
      <c r="AM105" s="1"/>
      <c r="AN105" s="1"/>
      <c r="AO105" s="61" t="s">
        <v>144</v>
      </c>
      <c r="AP105" s="61" t="str">
        <f t="shared" si="14"/>
        <v>-</v>
      </c>
      <c r="AQ105" s="62" t="s">
        <v>122</v>
      </c>
      <c r="AR105" s="61" t="s">
        <v>122</v>
      </c>
      <c r="AS105" s="1" t="s">
        <v>387</v>
      </c>
      <c r="AT105" s="1" t="s">
        <v>124</v>
      </c>
      <c r="AU105" s="1" t="e" vm="1">
        <f ca="1">_xlfn.IMAGE(All_PCC_a[[#This Row],[Image URL]])</f>
        <v>#NAME?</v>
      </c>
      <c r="AV105" s="1"/>
      <c r="AW105" s="1"/>
      <c r="BC105" s="1">
        <f>IF(Z105&lt;('[1]DCDC Ref'!$J$24/'[1]DCDC Ref'!$J$26)*'[1]DCDC Ref'!$J$28/100,0,1)</f>
        <v>1</v>
      </c>
      <c r="BD105" s="66">
        <f>IF(BC105=1000000000,"",('All Data'!Q105-'[1]DCDC Ref'!$J$30)/'[1]DCDC Ref'!$J$30*100)</f>
        <v>3381.3186813186817</v>
      </c>
      <c r="BE105" s="67">
        <f t="shared" si="11"/>
        <v>3381.3186813186817</v>
      </c>
      <c r="BF105" s="67"/>
      <c r="BG105" s="66"/>
      <c r="BH105" s="68">
        <f t="shared" si="8"/>
        <v>0</v>
      </c>
      <c r="BI105" s="67"/>
      <c r="BJ105" s="1">
        <f>IF(BC105=0,"",('All Data'!Z105-'[1]DCDC Ref'!$J$28*('[1]DCDC Ref'!$J$29/100))/'[1]DCDC Ref'!$J$28*('[1]DCDC Ref'!$J$29/100)*100)</f>
        <v>-38.137931034482762</v>
      </c>
      <c r="BK105" s="68">
        <f t="shared" si="9"/>
        <v>10000</v>
      </c>
      <c r="BL105" s="68"/>
      <c r="BM105" s="68"/>
      <c r="BN105" s="68"/>
      <c r="BO105" s="68"/>
      <c r="BP105" s="1"/>
      <c r="BQ105" s="5">
        <f t="shared" si="12"/>
        <v>16956593.406593408</v>
      </c>
      <c r="BR105" s="5">
        <f>IF(BQ105="","",RANK(BQ105,BQ$11:BQ$9930,1)+COUNTIF(BQ$11:BQ105,BQ105)-1)</f>
        <v>118</v>
      </c>
      <c r="BS105" s="69">
        <f t="shared" si="10"/>
        <v>118</v>
      </c>
      <c r="BT105" s="1" t="str">
        <f>IFERROR(INDEX($O$11:$O$1013,MATCH(ROWS($BS$11:BS105),$BS$11:$BS$1005,0)),"")</f>
        <v>ETQP5M100YFC</v>
      </c>
      <c r="BU105" s="69" t="str">
        <f t="shared" si="13"/>
        <v>ETQP5M100YFC</v>
      </c>
      <c r="BV105" s="1"/>
      <c r="BW105" s="1"/>
    </row>
    <row r="106" spans="1:75" ht="15">
      <c r="A106" s="1">
        <v>33</v>
      </c>
      <c r="B106" s="28" t="s">
        <v>109</v>
      </c>
      <c r="D106" s="1" t="s">
        <v>110</v>
      </c>
      <c r="E106" s="58"/>
      <c r="F106" s="1" t="s">
        <v>111</v>
      </c>
      <c r="G106" s="2" t="s">
        <v>112</v>
      </c>
      <c r="H106" s="1" t="s">
        <v>113</v>
      </c>
      <c r="I106" s="2" t="s">
        <v>114</v>
      </c>
      <c r="J106" s="1" t="s">
        <v>115</v>
      </c>
      <c r="K106" s="1" t="s">
        <v>116</v>
      </c>
      <c r="L106" s="1" t="s">
        <v>279</v>
      </c>
      <c r="M106" s="1" t="s">
        <v>297</v>
      </c>
      <c r="N106" s="1" t="s">
        <v>154</v>
      </c>
      <c r="O106" s="59" t="s">
        <v>388</v>
      </c>
      <c r="P106" s="60" t="str">
        <f>MID(All_PCC_a[[#This Row],[Part Number]],7,3)</f>
        <v>220</v>
      </c>
      <c r="Q106" s="61">
        <v>22</v>
      </c>
      <c r="R106" s="61" t="str">
        <f>IF(All_PCC_a[[#This Row],[Lo (uH)]]&lt;1,"&lt;1",IF(All_PCC_a[[#This Row],[Lo (uH)]]&lt;10,"&lt;10",IF(All_PCC_a[[#This Row],[Lo (uH)]]&lt;100,"&lt;100",IF(All_PCC_a[[#This Row],[Lo (uH)]]&lt;2000,"&lt;2000",""))))</f>
        <v>&lt;100</v>
      </c>
      <c r="S106" s="61" t="str">
        <f>IFERROR(VLOOKUP(All_PCC_a[[#This Row],[Lo (uH)]],[1]Utility!$D$5:$E$43,2,1),"-")</f>
        <v>≤  30</v>
      </c>
      <c r="T106" s="62">
        <v>0.2</v>
      </c>
      <c r="U106" s="63">
        <v>92</v>
      </c>
      <c r="V106" s="63">
        <v>102</v>
      </c>
      <c r="W106" s="61">
        <v>10</v>
      </c>
      <c r="X106" s="61">
        <v>3.7</v>
      </c>
      <c r="Y106" s="61">
        <v>3</v>
      </c>
      <c r="Z106" s="64">
        <v>5.8</v>
      </c>
      <c r="AA106" s="61">
        <v>3.97</v>
      </c>
      <c r="AB106" s="1">
        <v>7.5</v>
      </c>
      <c r="AC106" s="1">
        <v>7</v>
      </c>
      <c r="AD106" s="61">
        <v>5.4</v>
      </c>
      <c r="AE106" s="1">
        <f>ROUND(All_PCC_a[[#This Row],[L (mm)]]*All_PCC_a[[#This Row],[W (mm)]],1)</f>
        <v>52.5</v>
      </c>
      <c r="AF106" s="61" t="str">
        <f>All_PCC_a[[#This Row],[L (mm)]]&amp;"  x  "&amp;All_PCC_a[[#This Row],[W (mm)]]</f>
        <v>7,5  x  7</v>
      </c>
      <c r="AG106" s="98" t="s">
        <v>282</v>
      </c>
      <c r="AH106" s="61" t="str">
        <f>IF(All_PCC_a[[#This Row],[Max Height (mm)]]&lt;=9,"≤ "&amp;ROUNDUP(AD106,0),"≤"&amp;ROUNDUP(AD106,0))</f>
        <v>≤ 6</v>
      </c>
      <c r="AI106" s="11">
        <v>-40</v>
      </c>
      <c r="AJ106" s="11">
        <v>150</v>
      </c>
      <c r="AK106" s="1" t="str">
        <f>All_PCC_a[[#This Row],[Min Temp (deg.C)]]&amp;" to +"&amp;All_PCC_a[[#This Row],[Max Temp (deg.C)]]</f>
        <v>-40 to +150</v>
      </c>
      <c r="AL106" s="1"/>
      <c r="AO106" s="61" t="s">
        <v>144</v>
      </c>
      <c r="AP106" s="61" t="str">
        <f t="shared" si="14"/>
        <v>-</v>
      </c>
      <c r="AQ106" s="61" t="s">
        <v>122</v>
      </c>
      <c r="AR106" s="61" t="s">
        <v>122</v>
      </c>
      <c r="AS106" s="1" t="s">
        <v>389</v>
      </c>
      <c r="AT106" s="1" t="s">
        <v>124</v>
      </c>
      <c r="AU106" s="1" t="e" vm="1">
        <f ca="1">_xlfn.IMAGE(All_PCC_a[[#This Row],[Image URL]])</f>
        <v>#NAME?</v>
      </c>
      <c r="AW106" s="1"/>
      <c r="AY106" s="1"/>
      <c r="BC106" s="1">
        <f>IF(Z106&lt;('[1]DCDC Ref'!$J$24/'[1]DCDC Ref'!$J$26)*'[1]DCDC Ref'!$J$28/100,0,1)</f>
        <v>1</v>
      </c>
      <c r="BD106" s="66">
        <f>IF(BC106=1000000000,"",('All Data'!Q106-'[1]DCDC Ref'!$J$30)/'[1]DCDC Ref'!$J$30*100)</f>
        <v>3381.3186813186817</v>
      </c>
      <c r="BE106" s="67">
        <f t="shared" si="11"/>
        <v>3381.3186813186817</v>
      </c>
      <c r="BF106" s="67"/>
      <c r="BG106" s="66"/>
      <c r="BH106" s="68">
        <f t="shared" si="8"/>
        <v>0</v>
      </c>
      <c r="BI106" s="67"/>
      <c r="BJ106" s="1">
        <f>IF(BC106=0,"",('All Data'!Z106-'[1]DCDC Ref'!$J$28*('[1]DCDC Ref'!$J$29/100))/'[1]DCDC Ref'!$J$28*('[1]DCDC Ref'!$J$29/100)*100)</f>
        <v>-48.000000000000007</v>
      </c>
      <c r="BK106" s="68">
        <f t="shared" si="9"/>
        <v>10000</v>
      </c>
      <c r="BL106" s="68"/>
      <c r="BM106" s="68"/>
      <c r="BN106" s="68"/>
      <c r="BO106" s="68"/>
      <c r="BQ106" s="5">
        <f t="shared" si="12"/>
        <v>16956593.406593408</v>
      </c>
      <c r="BR106" s="5">
        <f>IF(BQ106="","",RANK(BQ106,BQ$11:BQ$9930,1)+COUNTIF(BQ$11:BQ106,BQ106)-1)</f>
        <v>119</v>
      </c>
      <c r="BS106" s="69">
        <f t="shared" si="10"/>
        <v>119</v>
      </c>
      <c r="BT106" s="1" t="str">
        <f>IFERROR(INDEX($O$11:$O$1013,MATCH(ROWS($BS$11:BS106),$BS$11:$BS$1005,0)),"")</f>
        <v>ETQP5M100YFM</v>
      </c>
      <c r="BU106" s="69" t="str">
        <f t="shared" si="13"/>
        <v>ETQP5M100YFM</v>
      </c>
    </row>
    <row r="107" spans="1:75" ht="15">
      <c r="A107" s="1">
        <v>61</v>
      </c>
      <c r="B107" s="28" t="s">
        <v>109</v>
      </c>
      <c r="D107" s="1" t="s">
        <v>110</v>
      </c>
      <c r="E107" s="58"/>
      <c r="F107" s="1" t="s">
        <v>111</v>
      </c>
      <c r="G107" s="2" t="s">
        <v>112</v>
      </c>
      <c r="H107" s="1" t="s">
        <v>113</v>
      </c>
      <c r="I107" s="2" t="s">
        <v>114</v>
      </c>
      <c r="J107" s="1" t="s">
        <v>115</v>
      </c>
      <c r="K107" s="1" t="s">
        <v>134</v>
      </c>
      <c r="L107" s="1" t="s">
        <v>164</v>
      </c>
      <c r="M107" s="1" t="s">
        <v>165</v>
      </c>
      <c r="N107" s="1" t="s">
        <v>119</v>
      </c>
      <c r="O107" s="59" t="s">
        <v>390</v>
      </c>
      <c r="P107" s="60" t="str">
        <f>MID(All_PCC_a[[#This Row],[Part Number]],7,3)</f>
        <v>220</v>
      </c>
      <c r="Q107" s="61">
        <v>22</v>
      </c>
      <c r="R107" s="61" t="str">
        <f>IF(All_PCC_a[[#This Row],[Lo (uH)]]&lt;1,"&lt;1",IF(All_PCC_a[[#This Row],[Lo (uH)]]&lt;10,"&lt;10",IF(All_PCC_a[[#This Row],[Lo (uH)]]&lt;100,"&lt;100",IF(All_PCC_a[[#This Row],[Lo (uH)]]&lt;2000,"&lt;2000",""))))</f>
        <v>&lt;100</v>
      </c>
      <c r="S107" s="61" t="str">
        <f>IFERROR(VLOOKUP(All_PCC_a[[#This Row],[Lo (uH)]],[1]Utility!$D$5:$E$43,2,1),"-")</f>
        <v>≤  30</v>
      </c>
      <c r="T107" s="62">
        <v>0.2</v>
      </c>
      <c r="U107" s="63">
        <v>128</v>
      </c>
      <c r="V107" s="63">
        <v>140.80000000000001</v>
      </c>
      <c r="W107" s="61">
        <v>10</v>
      </c>
      <c r="X107" s="61">
        <v>2.7</v>
      </c>
      <c r="Y107" s="61">
        <v>2.2000000000000002</v>
      </c>
      <c r="Z107" s="64">
        <v>4.3</v>
      </c>
      <c r="AA107" s="61">
        <v>2.79</v>
      </c>
      <c r="AB107" s="1">
        <v>6.4</v>
      </c>
      <c r="AC107" s="1">
        <v>6</v>
      </c>
      <c r="AD107" s="61">
        <v>3</v>
      </c>
      <c r="AE107" s="1">
        <f>ROUND(All_PCC_a[[#This Row],[L (mm)]]*All_PCC_a[[#This Row],[W (mm)]],1)</f>
        <v>38.4</v>
      </c>
      <c r="AF107" s="61" t="str">
        <f>All_PCC_a[[#This Row],[L (mm)]]&amp;"  x  "&amp;All_PCC_a[[#This Row],[W (mm)]]</f>
        <v>6,4  x  6</v>
      </c>
      <c r="AG107" s="65" t="s">
        <v>156</v>
      </c>
      <c r="AH107" s="61" t="str">
        <f>IF(All_PCC_a[[#This Row],[Max Height (mm)]]&lt;=9,"≤ "&amp;ROUNDUP(AD107,0),"≤"&amp;ROUNDUP(AD107,0))</f>
        <v>≤ 3</v>
      </c>
      <c r="AI107" s="1">
        <v>-55</v>
      </c>
      <c r="AJ107" s="1">
        <v>155</v>
      </c>
      <c r="AK107" s="1" t="str">
        <f>All_PCC_a[[#This Row],[Min Temp (deg.C)]]&amp;" to +"&amp;All_PCC_a[[#This Row],[Max Temp (deg.C)]]</f>
        <v>-55 to +155</v>
      </c>
      <c r="AL107" s="1"/>
      <c r="AO107" s="61" t="s">
        <v>122</v>
      </c>
      <c r="AP107" s="61" t="str">
        <f t="shared" si="14"/>
        <v>-</v>
      </c>
      <c r="AQ107" s="61" t="s">
        <v>122</v>
      </c>
      <c r="AR107" s="61" t="s">
        <v>122</v>
      </c>
      <c r="AS107" s="1" t="s">
        <v>391</v>
      </c>
      <c r="AT107" s="1" t="s">
        <v>140</v>
      </c>
      <c r="AU107" s="1" t="e" vm="1">
        <f ca="1">_xlfn.IMAGE(All_PCC_a[[#This Row],[Image URL]])</f>
        <v>#NAME?</v>
      </c>
      <c r="AW107" s="1"/>
      <c r="AY107" s="1"/>
      <c r="BC107" s="1">
        <f>IF(Z107&lt;('[1]DCDC Ref'!$J$24/'[1]DCDC Ref'!$J$26)*'[1]DCDC Ref'!$J$28/100,0,1)</f>
        <v>1</v>
      </c>
      <c r="BD107" s="66">
        <f>IF(BC107=1000000000,"",('All Data'!Q107-'[1]DCDC Ref'!$J$30)/'[1]DCDC Ref'!$J$30*100)</f>
        <v>3381.3186813186817</v>
      </c>
      <c r="BE107" s="67">
        <f t="shared" si="11"/>
        <v>3381.3186813186817</v>
      </c>
      <c r="BF107" s="67"/>
      <c r="BG107" s="66"/>
      <c r="BH107" s="68">
        <f t="shared" si="8"/>
        <v>0</v>
      </c>
      <c r="BI107" s="67"/>
      <c r="BJ107" s="1">
        <f>IF(BC107=0,"",('All Data'!Z107-'[1]DCDC Ref'!$J$28*('[1]DCDC Ref'!$J$29/100))/'[1]DCDC Ref'!$J$28*('[1]DCDC Ref'!$J$29/100)*100)</f>
        <v>-61.448275862068968</v>
      </c>
      <c r="BK107" s="68">
        <f t="shared" si="9"/>
        <v>10000</v>
      </c>
      <c r="BL107" s="68"/>
      <c r="BM107" s="68"/>
      <c r="BN107" s="68"/>
      <c r="BO107" s="68"/>
      <c r="BQ107" s="5">
        <f t="shared" si="12"/>
        <v>16956593.406593408</v>
      </c>
      <c r="BR107" s="5">
        <f>IF(BQ107="","",RANK(BQ107,BQ$11:BQ$9930,1)+COUNTIF(BQ$11:BQ107,BQ107)-1)</f>
        <v>120</v>
      </c>
      <c r="BS107" s="69">
        <f t="shared" si="10"/>
        <v>120</v>
      </c>
      <c r="BT107" s="1" t="str">
        <f>IFERROR(INDEX($O$11:$O$1013,MATCH(ROWS($BS$11:BS107),$BS$11:$BS$1005,0)),"")</f>
        <v>ETQP3M100KVP</v>
      </c>
      <c r="BU107" s="69" t="str">
        <f t="shared" si="13"/>
        <v>ETQP3M100KVP</v>
      </c>
    </row>
    <row r="108" spans="1:75" ht="15">
      <c r="A108" s="1">
        <v>72</v>
      </c>
      <c r="B108" s="28" t="s">
        <v>109</v>
      </c>
      <c r="D108" s="1" t="s">
        <v>110</v>
      </c>
      <c r="E108" s="58"/>
      <c r="F108" s="1" t="s">
        <v>111</v>
      </c>
      <c r="G108" s="2" t="s">
        <v>112</v>
      </c>
      <c r="H108" s="1" t="s">
        <v>113</v>
      </c>
      <c r="I108" s="2" t="s">
        <v>114</v>
      </c>
      <c r="J108" s="1" t="s">
        <v>115</v>
      </c>
      <c r="K108" s="1" t="s">
        <v>134</v>
      </c>
      <c r="L108" s="1" t="s">
        <v>168</v>
      </c>
      <c r="M108" s="1" t="s">
        <v>169</v>
      </c>
      <c r="N108" s="1" t="s">
        <v>119</v>
      </c>
      <c r="O108" s="59" t="s">
        <v>392</v>
      </c>
      <c r="P108" s="60" t="str">
        <f>MID(All_PCC_a[[#This Row],[Part Number]],7,3)</f>
        <v>220</v>
      </c>
      <c r="Q108" s="61">
        <v>22</v>
      </c>
      <c r="R108" s="61" t="str">
        <f>IF(All_PCC_a[[#This Row],[Lo (uH)]]&lt;1,"&lt;1",IF(All_PCC_a[[#This Row],[Lo (uH)]]&lt;10,"&lt;10",IF(All_PCC_a[[#This Row],[Lo (uH)]]&lt;100,"&lt;100",IF(All_PCC_a[[#This Row],[Lo (uH)]]&lt;2000,"&lt;2000",""))))</f>
        <v>&lt;100</v>
      </c>
      <c r="S108" s="61" t="str">
        <f>IFERROR(VLOOKUP(All_PCC_a[[#This Row],[Lo (uH)]],[1]Utility!$D$5:$E$43,2,1),"-")</f>
        <v>≤  30</v>
      </c>
      <c r="T108" s="62">
        <v>0.2</v>
      </c>
      <c r="U108" s="63">
        <v>78.400000000000006</v>
      </c>
      <c r="V108" s="63">
        <v>86.24</v>
      </c>
      <c r="W108" s="61">
        <v>10</v>
      </c>
      <c r="X108" s="61">
        <v>3.8</v>
      </c>
      <c r="Y108" s="61">
        <v>3.2</v>
      </c>
      <c r="Z108" s="64">
        <v>6</v>
      </c>
      <c r="AA108" s="61">
        <v>5</v>
      </c>
      <c r="AB108" s="1">
        <v>8.4</v>
      </c>
      <c r="AC108" s="1">
        <v>8</v>
      </c>
      <c r="AD108" s="61">
        <v>4</v>
      </c>
      <c r="AE108" s="1">
        <f>ROUND(All_PCC_a[[#This Row],[L (mm)]]*All_PCC_a[[#This Row],[W (mm)]],1)</f>
        <v>67.2</v>
      </c>
      <c r="AF108" s="61" t="str">
        <f>All_PCC_a[[#This Row],[L (mm)]]&amp;"  x  "&amp;All_PCC_a[[#This Row],[W (mm)]]</f>
        <v>8,4  x  8</v>
      </c>
      <c r="AG108" s="76" t="s">
        <v>171</v>
      </c>
      <c r="AH108" s="61" t="str">
        <f>IF(All_PCC_a[[#This Row],[Max Height (mm)]]&lt;=9,"≤ "&amp;ROUNDUP(AD108,0),"≤"&amp;ROUNDUP(AD108,0))</f>
        <v>≤ 4</v>
      </c>
      <c r="AI108" s="1">
        <v>-55</v>
      </c>
      <c r="AJ108" s="1">
        <v>155</v>
      </c>
      <c r="AK108" s="1" t="str">
        <f>All_PCC_a[[#This Row],[Min Temp (deg.C)]]&amp;" to +"&amp;All_PCC_a[[#This Row],[Max Temp (deg.C)]]</f>
        <v>-55 to +155</v>
      </c>
      <c r="AL108" s="1"/>
      <c r="AO108" s="61" t="s">
        <v>122</v>
      </c>
      <c r="AP108" s="61" t="str">
        <f t="shared" si="14"/>
        <v>-</v>
      </c>
      <c r="AQ108" s="61" t="s">
        <v>122</v>
      </c>
      <c r="AR108" s="61" t="s">
        <v>122</v>
      </c>
      <c r="AS108" s="1" t="s">
        <v>393</v>
      </c>
      <c r="AT108" s="1" t="s">
        <v>140</v>
      </c>
      <c r="AU108" s="1" t="e" vm="1">
        <f ca="1">_xlfn.IMAGE(All_PCC_a[[#This Row],[Image URL]])</f>
        <v>#NAME?</v>
      </c>
      <c r="AW108" s="1"/>
      <c r="AY108" s="1"/>
      <c r="BC108" s="1">
        <f>IF(Z108&lt;('[1]DCDC Ref'!$J$24/'[1]DCDC Ref'!$J$26)*'[1]DCDC Ref'!$J$28/100,0,1)</f>
        <v>1</v>
      </c>
      <c r="BD108" s="66">
        <f>IF(BC108=1000000000,"",('All Data'!Q108-'[1]DCDC Ref'!$J$30)/'[1]DCDC Ref'!$J$30*100)</f>
        <v>3381.3186813186817</v>
      </c>
      <c r="BE108" s="67">
        <f t="shared" si="11"/>
        <v>3381.3186813186817</v>
      </c>
      <c r="BF108" s="67"/>
      <c r="BG108" s="66"/>
      <c r="BH108" s="68">
        <f t="shared" si="8"/>
        <v>0</v>
      </c>
      <c r="BI108" s="67"/>
      <c r="BJ108" s="1">
        <f>IF(BC108=0,"",('All Data'!Z108-'[1]DCDC Ref'!$J$28*('[1]DCDC Ref'!$J$29/100))/'[1]DCDC Ref'!$J$28*('[1]DCDC Ref'!$J$29/100)*100)</f>
        <v>-46.206896551724142</v>
      </c>
      <c r="BK108" s="68">
        <f t="shared" si="9"/>
        <v>10000</v>
      </c>
      <c r="BL108" s="68"/>
      <c r="BM108" s="68"/>
      <c r="BN108" s="68"/>
      <c r="BO108" s="68"/>
      <c r="BQ108" s="5">
        <f t="shared" si="12"/>
        <v>16956593.406593408</v>
      </c>
      <c r="BR108" s="5">
        <f>IF(BQ108="","",RANK(BQ108,BQ$11:BQ$9930,1)+COUNTIF(BQ$11:BQ108,BQ108)-1)</f>
        <v>121</v>
      </c>
      <c r="BS108" s="69">
        <f t="shared" si="10"/>
        <v>121</v>
      </c>
      <c r="BT108" s="1" t="str">
        <f>IFERROR(INDEX($O$11:$O$1013,MATCH(ROWS($BS$11:BS108),$BS$11:$BS$1005,0)),"")</f>
        <v>ETQP3M100KVN</v>
      </c>
      <c r="BU108" s="69" t="str">
        <f t="shared" si="13"/>
        <v>ETQP3M100KVN</v>
      </c>
    </row>
    <row r="109" spans="1:75" ht="15">
      <c r="A109" s="1">
        <v>84</v>
      </c>
      <c r="B109" s="28" t="s">
        <v>109</v>
      </c>
      <c r="D109" s="1" t="s">
        <v>110</v>
      </c>
      <c r="E109" s="58"/>
      <c r="F109" s="1" t="s">
        <v>111</v>
      </c>
      <c r="G109" s="2" t="s">
        <v>112</v>
      </c>
      <c r="H109" s="1" t="s">
        <v>113</v>
      </c>
      <c r="I109" s="2" t="s">
        <v>114</v>
      </c>
      <c r="J109" s="1" t="s">
        <v>115</v>
      </c>
      <c r="K109" s="1" t="s">
        <v>134</v>
      </c>
      <c r="L109" s="1" t="s">
        <v>191</v>
      </c>
      <c r="M109" s="1" t="s">
        <v>192</v>
      </c>
      <c r="N109" s="1" t="s">
        <v>119</v>
      </c>
      <c r="O109" s="59" t="s">
        <v>394</v>
      </c>
      <c r="P109" s="60" t="str">
        <f>MID(All_PCC_a[[#This Row],[Part Number]],7,3)</f>
        <v>220</v>
      </c>
      <c r="Q109" s="61">
        <v>22</v>
      </c>
      <c r="R109" s="61" t="str">
        <f>IF(All_PCC_a[[#This Row],[Lo (uH)]]&lt;1,"&lt;1",IF(All_PCC_a[[#This Row],[Lo (uH)]]&lt;10,"&lt;10",IF(All_PCC_a[[#This Row],[Lo (uH)]]&lt;100,"&lt;100",IF(All_PCC_a[[#This Row],[Lo (uH)]]&lt;2000,"&lt;2000",""))))</f>
        <v>&lt;100</v>
      </c>
      <c r="S109" s="61" t="str">
        <f>IFERROR(VLOOKUP(All_PCC_a[[#This Row],[Lo (uH)]],[1]Utility!$D$5:$E$43,2,1),"-")</f>
        <v>≤  30</v>
      </c>
      <c r="T109" s="62">
        <v>0.2</v>
      </c>
      <c r="U109" s="63">
        <v>60</v>
      </c>
      <c r="V109" s="63">
        <v>66</v>
      </c>
      <c r="W109" s="61">
        <v>10</v>
      </c>
      <c r="X109" s="61">
        <v>5</v>
      </c>
      <c r="Y109" s="86">
        <v>4.0999999999999996</v>
      </c>
      <c r="Z109" s="87">
        <v>7.4</v>
      </c>
      <c r="AA109" s="61">
        <v>5.63</v>
      </c>
      <c r="AB109" s="1">
        <v>10.7</v>
      </c>
      <c r="AC109" s="1">
        <v>10</v>
      </c>
      <c r="AD109" s="61">
        <v>4</v>
      </c>
      <c r="AE109" s="1">
        <f>ROUND(All_PCC_a[[#This Row],[L (mm)]]*All_PCC_a[[#This Row],[W (mm)]],1)</f>
        <v>107</v>
      </c>
      <c r="AF109" s="61" t="str">
        <f>All_PCC_a[[#This Row],[L (mm)]]&amp;"  x  "&amp;All_PCC_a[[#This Row],[W (mm)]]</f>
        <v>10,7  x  10</v>
      </c>
      <c r="AG109" s="65" t="s">
        <v>121</v>
      </c>
      <c r="AH109" s="61" t="str">
        <f>IF(All_PCC_a[[#This Row],[Max Height (mm)]]&lt;=9,"≤ "&amp;ROUNDUP(AD109,0),"≤"&amp;ROUNDUP(AD109,0))</f>
        <v>≤ 4</v>
      </c>
      <c r="AI109" s="1">
        <v>-55</v>
      </c>
      <c r="AJ109" s="1">
        <v>155</v>
      </c>
      <c r="AK109" s="1" t="str">
        <f>All_PCC_a[[#This Row],[Min Temp (deg.C)]]&amp;" to +"&amp;All_PCC_a[[#This Row],[Max Temp (deg.C)]]</f>
        <v>-55 to +155</v>
      </c>
      <c r="AL109" s="1"/>
      <c r="AO109" s="61" t="s">
        <v>122</v>
      </c>
      <c r="AP109" s="61" t="str">
        <f t="shared" si="14"/>
        <v>-</v>
      </c>
      <c r="AQ109" s="61" t="s">
        <v>122</v>
      </c>
      <c r="AR109" s="61" t="s">
        <v>122</v>
      </c>
      <c r="AS109" s="1" t="s">
        <v>395</v>
      </c>
      <c r="AT109" s="1" t="s">
        <v>140</v>
      </c>
      <c r="AU109" s="1" t="e" vm="1">
        <f ca="1">_xlfn.IMAGE(All_PCC_a[[#This Row],[Image URL]])</f>
        <v>#NAME?</v>
      </c>
      <c r="AW109" s="1"/>
      <c r="AY109" s="1"/>
      <c r="BC109" s="1">
        <f>IF(Z109&lt;('[1]DCDC Ref'!$J$24/'[1]DCDC Ref'!$J$26)*'[1]DCDC Ref'!$J$28/100,0,1)</f>
        <v>1</v>
      </c>
      <c r="BD109" s="66">
        <f>IF(BC109=1000000000,"",('All Data'!Q109-'[1]DCDC Ref'!$J$30)/'[1]DCDC Ref'!$J$30*100)</f>
        <v>3381.3186813186817</v>
      </c>
      <c r="BE109" s="67">
        <f t="shared" si="11"/>
        <v>3381.3186813186817</v>
      </c>
      <c r="BF109" s="67"/>
      <c r="BG109" s="66"/>
      <c r="BH109" s="68">
        <f t="shared" si="8"/>
        <v>0</v>
      </c>
      <c r="BI109" s="67"/>
      <c r="BJ109" s="1">
        <f>IF(BC109=0,"",('All Data'!Z109-'[1]DCDC Ref'!$J$28*('[1]DCDC Ref'!$J$29/100))/'[1]DCDC Ref'!$J$28*('[1]DCDC Ref'!$J$29/100)*100)</f>
        <v>-33.655172413793103</v>
      </c>
      <c r="BK109" s="68">
        <f t="shared" si="9"/>
        <v>10000</v>
      </c>
      <c r="BL109" s="68"/>
      <c r="BM109" s="68"/>
      <c r="BN109" s="68"/>
      <c r="BO109" s="68"/>
      <c r="BQ109" s="5">
        <f t="shared" si="12"/>
        <v>16956593.406593408</v>
      </c>
      <c r="BR109" s="5">
        <f>IF(BQ109="","",RANK(BQ109,BQ$11:BQ$9930,1)+COUNTIF(BQ$11:BQ109,BQ109)-1)</f>
        <v>122</v>
      </c>
      <c r="BS109" s="69">
        <f t="shared" si="10"/>
        <v>122</v>
      </c>
      <c r="BT109" s="1" t="str">
        <f>IFERROR(INDEX($O$11:$O$1013,MATCH(ROWS($BS$11:BS109),$BS$11:$BS$1005,0)),"")</f>
        <v>ETQP4M100KVK</v>
      </c>
      <c r="BU109" s="69" t="str">
        <f t="shared" si="13"/>
        <v>ETQP4M100KVK</v>
      </c>
    </row>
    <row r="110" spans="1:75" ht="15">
      <c r="A110" s="1">
        <v>95</v>
      </c>
      <c r="B110" s="28" t="s">
        <v>109</v>
      </c>
      <c r="D110" s="1" t="s">
        <v>110</v>
      </c>
      <c r="E110" s="58"/>
      <c r="F110" s="1" t="s">
        <v>111</v>
      </c>
      <c r="G110" s="2" t="s">
        <v>112</v>
      </c>
      <c r="H110" s="1" t="s">
        <v>113</v>
      </c>
      <c r="I110" s="2" t="s">
        <v>114</v>
      </c>
      <c r="J110" s="1" t="s">
        <v>115</v>
      </c>
      <c r="K110" s="1" t="s">
        <v>230</v>
      </c>
      <c r="L110" s="1" t="s">
        <v>349</v>
      </c>
      <c r="M110" s="1" t="s">
        <v>350</v>
      </c>
      <c r="N110" s="1" t="s">
        <v>119</v>
      </c>
      <c r="O110" s="59" t="s">
        <v>396</v>
      </c>
      <c r="P110" s="60" t="str">
        <f>MID(All_PCC_a[[#This Row],[Part Number]],7,3)</f>
        <v>220</v>
      </c>
      <c r="Q110" s="61">
        <v>22</v>
      </c>
      <c r="R110" s="61" t="str">
        <f>IF(All_PCC_a[[#This Row],[Lo (uH)]]&lt;1,"&lt;1",IF(All_PCC_a[[#This Row],[Lo (uH)]]&lt;10,"&lt;10",IF(All_PCC_a[[#This Row],[Lo (uH)]]&lt;100,"&lt;100",IF(All_PCC_a[[#This Row],[Lo (uH)]]&lt;2000,"&lt;2000",""))))</f>
        <v>&lt;100</v>
      </c>
      <c r="S110" s="61" t="str">
        <f>IFERROR(VLOOKUP(All_PCC_a[[#This Row],[Lo (uH)]],[1]Utility!$D$5:$E$43,2,1),"-")</f>
        <v>≤  30</v>
      </c>
      <c r="T110" s="62">
        <v>0.2</v>
      </c>
      <c r="U110" s="63">
        <v>144</v>
      </c>
      <c r="V110" s="63">
        <v>158.4</v>
      </c>
      <c r="W110" s="61">
        <v>20</v>
      </c>
      <c r="X110" s="61">
        <v>2.5</v>
      </c>
      <c r="Y110" s="86">
        <v>2.1</v>
      </c>
      <c r="Z110" s="87">
        <v>4</v>
      </c>
      <c r="AA110" s="61">
        <v>2.9</v>
      </c>
      <c r="AB110" s="1">
        <v>6.5</v>
      </c>
      <c r="AC110" s="1">
        <v>6</v>
      </c>
      <c r="AD110" s="61">
        <v>3</v>
      </c>
      <c r="AE110" s="1">
        <f>ROUND(All_PCC_a[[#This Row],[L (mm)]]*All_PCC_a[[#This Row],[W (mm)]],1)</f>
        <v>39</v>
      </c>
      <c r="AF110" s="61" t="str">
        <f>All_PCC_a[[#This Row],[L (mm)]]&amp;"  x  "&amp;All_PCC_a[[#This Row],[W (mm)]]</f>
        <v>6,5  x  6</v>
      </c>
      <c r="AG110" s="65" t="s">
        <v>156</v>
      </c>
      <c r="AH110" s="61" t="str">
        <f>IF(All_PCC_a[[#This Row],[Max Height (mm)]]&lt;=9,"≤ "&amp;ROUNDUP(AD110,0),"≤"&amp;ROUNDUP(AD110,0))</f>
        <v>≤ 3</v>
      </c>
      <c r="AI110" s="1">
        <v>-40</v>
      </c>
      <c r="AJ110" s="1">
        <v>150</v>
      </c>
      <c r="AK110" s="1" t="str">
        <f>All_PCC_a[[#This Row],[Min Temp (deg.C)]]&amp;" to +"&amp;All_PCC_a[[#This Row],[Max Temp (deg.C)]]</f>
        <v>-40 to +150</v>
      </c>
      <c r="AL110" s="1"/>
      <c r="AO110" s="61" t="s">
        <v>122</v>
      </c>
      <c r="AP110" s="61" t="str">
        <f t="shared" ref="AP110:AP134" si="15">IFERROR(IF(L1Round&gt;1,ROUND(L1Round,1),L1Round),"-")</f>
        <v>-</v>
      </c>
      <c r="AQ110" s="61" t="s">
        <v>122</v>
      </c>
      <c r="AR110" s="61" t="s">
        <v>122</v>
      </c>
      <c r="AS110" s="1" t="s">
        <v>397</v>
      </c>
      <c r="AT110" s="1" t="s">
        <v>235</v>
      </c>
      <c r="AU110" s="1" t="e" vm="1">
        <f ca="1">_xlfn.IMAGE(All_PCC_a[[#This Row],[Image URL]])</f>
        <v>#NAME?</v>
      </c>
      <c r="AW110" s="1"/>
      <c r="AY110" s="1"/>
      <c r="BC110" s="1">
        <f>IF(Z110&lt;('[1]DCDC Ref'!$J$24/'[1]DCDC Ref'!$J$26)*'[1]DCDC Ref'!$J$28/100,0,1)</f>
        <v>1</v>
      </c>
      <c r="BD110" s="66">
        <f>IF(BC110=1000000000,"",('All Data'!Q110-'[1]DCDC Ref'!$J$30)/'[1]DCDC Ref'!$J$30*100)</f>
        <v>3381.3186813186817</v>
      </c>
      <c r="BE110" s="67">
        <f t="shared" si="11"/>
        <v>3381.3186813186817</v>
      </c>
      <c r="BF110" s="67"/>
      <c r="BG110" s="66"/>
      <c r="BH110" s="68">
        <f t="shared" si="8"/>
        <v>0</v>
      </c>
      <c r="BI110" s="67"/>
      <c r="BJ110" s="1">
        <f>IF(BC110=0,"",('All Data'!Z110-'[1]DCDC Ref'!$J$28*('[1]DCDC Ref'!$J$29/100))/'[1]DCDC Ref'!$J$28*('[1]DCDC Ref'!$J$29/100)*100)</f>
        <v>-64.137931034482762</v>
      </c>
      <c r="BK110" s="68">
        <f t="shared" si="9"/>
        <v>10000</v>
      </c>
      <c r="BL110" s="68"/>
      <c r="BM110" s="68"/>
      <c r="BN110" s="68"/>
      <c r="BO110" s="68"/>
      <c r="BQ110" s="5">
        <f t="shared" si="12"/>
        <v>16956593.406593408</v>
      </c>
      <c r="BR110" s="5">
        <f>IF(BQ110="","",RANK(BQ110,BQ$11:BQ$9930,1)+COUNTIF(BQ$11:BQ110,BQ110)-1)</f>
        <v>123</v>
      </c>
      <c r="BS110" s="69">
        <f t="shared" si="10"/>
        <v>123</v>
      </c>
      <c r="BT110" s="1" t="str">
        <f>IFERROR(INDEX($O$11:$O$1013,MATCH(ROWS($BS$11:BS110),$BS$11:$BS$1005,0)),"")</f>
        <v>ETQP4M100KVC</v>
      </c>
      <c r="BU110" s="69" t="str">
        <f t="shared" si="13"/>
        <v>ETQP4M100KVC</v>
      </c>
    </row>
    <row r="111" spans="1:75" ht="15">
      <c r="A111" s="1">
        <v>103</v>
      </c>
      <c r="B111" s="28" t="s">
        <v>109</v>
      </c>
      <c r="D111" s="1" t="s">
        <v>110</v>
      </c>
      <c r="E111" s="58"/>
      <c r="F111" s="1" t="s">
        <v>111</v>
      </c>
      <c r="G111" s="2" t="s">
        <v>112</v>
      </c>
      <c r="H111" s="1" t="s">
        <v>113</v>
      </c>
      <c r="I111" s="2" t="s">
        <v>114</v>
      </c>
      <c r="J111" s="1" t="s">
        <v>115</v>
      </c>
      <c r="K111" s="1" t="s">
        <v>273</v>
      </c>
      <c r="L111" s="1" t="s">
        <v>314</v>
      </c>
      <c r="M111" s="1" t="s">
        <v>315</v>
      </c>
      <c r="N111" s="1" t="s">
        <v>119</v>
      </c>
      <c r="O111" s="59" t="s">
        <v>398</v>
      </c>
      <c r="P111" s="60" t="str">
        <f>MID(All_PCC_a[[#This Row],[Part Number]],7,3)</f>
        <v>220</v>
      </c>
      <c r="Q111" s="61">
        <v>22</v>
      </c>
      <c r="R111" s="61" t="str">
        <f>IF(All_PCC_a[[#This Row],[Lo (uH)]]&lt;1,"&lt;1",IF(All_PCC_a[[#This Row],[Lo (uH)]]&lt;10,"&lt;10",IF(All_PCC_a[[#This Row],[Lo (uH)]]&lt;100,"&lt;100",IF(All_PCC_a[[#This Row],[Lo (uH)]]&lt;2000,"&lt;2000",""))))</f>
        <v>&lt;100</v>
      </c>
      <c r="S111" s="61" t="str">
        <f>IFERROR(VLOOKUP(All_PCC_a[[#This Row],[Lo (uH)]],[1]Utility!$D$5:$E$43,2,1),"-")</f>
        <v>≤  30</v>
      </c>
      <c r="T111" s="62">
        <v>0.2</v>
      </c>
      <c r="U111" s="63">
        <v>84.1</v>
      </c>
      <c r="V111" s="63">
        <v>92.51</v>
      </c>
      <c r="W111" s="61">
        <v>10</v>
      </c>
      <c r="X111" s="61">
        <v>3.9</v>
      </c>
      <c r="Y111" s="86">
        <v>2.9</v>
      </c>
      <c r="Z111" s="87">
        <v>4.5999999999999996</v>
      </c>
      <c r="AA111" s="61">
        <v>3.7</v>
      </c>
      <c r="AB111" s="1">
        <v>7.4</v>
      </c>
      <c r="AC111" s="1">
        <v>7</v>
      </c>
      <c r="AD111" s="61">
        <v>4.8</v>
      </c>
      <c r="AE111" s="1">
        <f>ROUND(All_PCC_a[[#This Row],[L (mm)]]*All_PCC_a[[#This Row],[W (mm)]],1)</f>
        <v>51.8</v>
      </c>
      <c r="AF111" s="61" t="str">
        <f>All_PCC_a[[#This Row],[L (mm)]]&amp;"  x  "&amp;All_PCC_a[[#This Row],[W (mm)]]</f>
        <v>7,4  x  7</v>
      </c>
      <c r="AG111" s="74" t="s">
        <v>282</v>
      </c>
      <c r="AH111" s="61" t="str">
        <f>IF(All_PCC_a[[#This Row],[Max Height (mm)]]&lt;=9,"≤ "&amp;ROUNDUP(AD111,0),"≤"&amp;ROUNDUP(AD111,0))</f>
        <v>≤ 5</v>
      </c>
      <c r="AI111" s="1">
        <v>-40</v>
      </c>
      <c r="AJ111" s="1">
        <v>150</v>
      </c>
      <c r="AK111" s="1" t="str">
        <f>All_PCC_a[[#This Row],[Min Temp (deg.C)]]&amp;" to +"&amp;All_PCC_a[[#This Row],[Max Temp (deg.C)]]</f>
        <v>-40 to +150</v>
      </c>
      <c r="AL111" s="1"/>
      <c r="AO111" s="61" t="s">
        <v>122</v>
      </c>
      <c r="AP111" s="61" t="str">
        <f t="shared" si="15"/>
        <v>-</v>
      </c>
      <c r="AQ111" s="61" t="s">
        <v>122</v>
      </c>
      <c r="AR111" s="61" t="s">
        <v>122</v>
      </c>
      <c r="AS111" s="1" t="s">
        <v>399</v>
      </c>
      <c r="AT111" s="1" t="s">
        <v>278</v>
      </c>
      <c r="AU111" s="1" t="e" vm="1">
        <f ca="1">_xlfn.IMAGE(All_PCC_a[[#This Row],[Image URL]])</f>
        <v>#NAME?</v>
      </c>
      <c r="AW111" s="1"/>
      <c r="AY111" s="1"/>
      <c r="BC111" s="1">
        <f>IF(Z111&lt;('[1]DCDC Ref'!$J$24/'[1]DCDC Ref'!$J$26)*'[1]DCDC Ref'!$J$28/100,0,1)</f>
        <v>1</v>
      </c>
      <c r="BD111" s="66">
        <f>IF(BC111=1000000000,"",('All Data'!Q111-'[1]DCDC Ref'!$J$30)/'[1]DCDC Ref'!$J$30*100)</f>
        <v>3381.3186813186817</v>
      </c>
      <c r="BE111" s="67">
        <f t="shared" si="11"/>
        <v>3381.3186813186817</v>
      </c>
      <c r="BF111" s="67"/>
      <c r="BG111" s="66"/>
      <c r="BH111" s="68">
        <f t="shared" si="8"/>
        <v>0</v>
      </c>
      <c r="BI111" s="67"/>
      <c r="BJ111" s="1">
        <f>IF(BC111=0,"",('All Data'!Z111-'[1]DCDC Ref'!$J$28*('[1]DCDC Ref'!$J$29/100))/'[1]DCDC Ref'!$J$28*('[1]DCDC Ref'!$J$29/100)*100)</f>
        <v>-58.758620689655181</v>
      </c>
      <c r="BK111" s="68">
        <f t="shared" si="9"/>
        <v>10000</v>
      </c>
      <c r="BL111" s="68"/>
      <c r="BM111" s="68"/>
      <c r="BN111" s="68"/>
      <c r="BO111" s="68"/>
      <c r="BQ111" s="5">
        <f t="shared" si="12"/>
        <v>16956593.406593408</v>
      </c>
      <c r="BR111" s="5">
        <f>IF(BQ111="","",RANK(BQ111,BQ$11:BQ$9930,1)+COUNTIF(BQ$11:BQ111,BQ111)-1)</f>
        <v>124</v>
      </c>
      <c r="BS111" s="69">
        <f t="shared" si="10"/>
        <v>124</v>
      </c>
      <c r="BT111" s="1" t="str">
        <f>IFERROR(INDEX($O$11:$O$1013,MATCH(ROWS($BS$11:BS111),$BS$11:$BS$1005,0)),"")</f>
        <v>ETQP3M100HFN</v>
      </c>
      <c r="BU111" s="69" t="str">
        <f t="shared" si="13"/>
        <v>ETQP3M100HFN</v>
      </c>
    </row>
    <row r="112" spans="1:75">
      <c r="A112" s="1">
        <v>121</v>
      </c>
      <c r="B112" s="28" t="s">
        <v>109</v>
      </c>
      <c r="C112" s="24">
        <v>44883</v>
      </c>
      <c r="D112" s="1" t="s">
        <v>110</v>
      </c>
      <c r="E112" s="2"/>
      <c r="F112" s="1" t="s">
        <v>357</v>
      </c>
      <c r="G112" s="2" t="s">
        <v>112</v>
      </c>
      <c r="H112" s="1" t="s">
        <v>113</v>
      </c>
      <c r="I112" s="2" t="s">
        <v>114</v>
      </c>
      <c r="J112" s="1" t="s">
        <v>115</v>
      </c>
      <c r="K112" s="1" t="s">
        <v>377</v>
      </c>
      <c r="L112" s="1" t="s">
        <v>314</v>
      </c>
      <c r="M112" s="1" t="s">
        <v>275</v>
      </c>
      <c r="N112" s="1" t="s">
        <v>119</v>
      </c>
      <c r="O112" s="59" t="s">
        <v>400</v>
      </c>
      <c r="P112" s="60" t="str">
        <f>MID(All_PCC_a[[#This Row],[Part Number]],7,3)</f>
        <v>220</v>
      </c>
      <c r="Q112" s="61">
        <v>22</v>
      </c>
      <c r="R112" s="71" t="str">
        <f>IF(All_PCC_a[[#This Row],[Lo (uH)]]&lt;1,"&lt;1",IF(All_PCC_a[[#This Row],[Lo (uH)]]&lt;10,"&lt;10",IF(All_PCC_a[[#This Row],[Lo (uH)]]&lt;100,"&lt;100",IF(All_PCC_a[[#This Row],[Lo (uH)]]&lt;2000,"&lt;2000",""))))</f>
        <v>&lt;100</v>
      </c>
      <c r="S112" s="61" t="str">
        <f>IFERROR(VLOOKUP(All_PCC_a[[#This Row],[Lo (uH)]],[1]Utility!$D$5:$E$43,2,1),"-")</f>
        <v>≤  30</v>
      </c>
      <c r="T112" s="62">
        <v>0.2</v>
      </c>
      <c r="U112" s="70">
        <v>113</v>
      </c>
      <c r="V112" s="70">
        <v>124.3</v>
      </c>
      <c r="W112" s="61">
        <v>10</v>
      </c>
      <c r="X112" s="71">
        <v>3.1</v>
      </c>
      <c r="Y112" s="61">
        <v>2.4</v>
      </c>
      <c r="Z112" s="64">
        <v>4.0999999999999996</v>
      </c>
      <c r="AA112" s="61">
        <v>2.9</v>
      </c>
      <c r="AB112" s="1">
        <v>6.4</v>
      </c>
      <c r="AC112" s="1">
        <v>6</v>
      </c>
      <c r="AD112" s="61">
        <v>4.8</v>
      </c>
      <c r="AE112" s="1">
        <f>ROUND(All_PCC_a[[#This Row],[L (mm)]]*All_PCC_a[[#This Row],[W (mm)]],1)</f>
        <v>38.4</v>
      </c>
      <c r="AF112" s="61" t="str">
        <f>All_PCC_a[[#This Row],[L (mm)]]&amp;"  x  "&amp;All_PCC_a[[#This Row],[W (mm)]]</f>
        <v>6,4  x  6</v>
      </c>
      <c r="AG112" s="65" t="s">
        <v>156</v>
      </c>
      <c r="AH112" s="61" t="str">
        <f>IF(All_PCC_a[[#This Row],[Max Height (mm)]]&lt;=9,"≤ "&amp;ROUNDUP(AD112,0),"≤"&amp;ROUNDUP(AD112,0))</f>
        <v>≤ 5</v>
      </c>
      <c r="AI112" s="1">
        <v>-40</v>
      </c>
      <c r="AJ112" s="1">
        <v>150</v>
      </c>
      <c r="AK112" s="1" t="str">
        <f>All_PCC_a[[#This Row],[Min Temp (deg.C)]]&amp;" to +"&amp;All_PCC_a[[#This Row],[Max Temp (deg.C)]]</f>
        <v>-40 to +150</v>
      </c>
      <c r="AL112" s="1"/>
      <c r="AO112" s="61" t="s">
        <v>122</v>
      </c>
      <c r="AP112" s="71" t="str">
        <f t="shared" si="15"/>
        <v>-</v>
      </c>
      <c r="AQ112" s="61" t="s">
        <v>122</v>
      </c>
      <c r="AR112" s="61" t="s">
        <v>122</v>
      </c>
      <c r="AS112" s="1" t="s">
        <v>401</v>
      </c>
      <c r="AT112" s="1" t="s">
        <v>278</v>
      </c>
      <c r="AU112" s="1" t="e" vm="1">
        <f ca="1">_xlfn.IMAGE(All_PCC_a[[#This Row],[Image URL]])</f>
        <v>#NAME?</v>
      </c>
      <c r="AW112" s="1"/>
      <c r="AY112" s="1"/>
      <c r="BC112" s="1">
        <f>IF(Z112&lt;('[1]DCDC Ref'!$J$24/'[1]DCDC Ref'!$J$26)*'[1]DCDC Ref'!$J$28/100,0,1)</f>
        <v>1</v>
      </c>
      <c r="BD112" s="66">
        <f>IF(BC112=1000000000,"",('All Data'!Q112-'[1]DCDC Ref'!$J$30)/'[1]DCDC Ref'!$J$30*100)</f>
        <v>3381.3186813186817</v>
      </c>
      <c r="BE112" s="67">
        <f t="shared" si="11"/>
        <v>3381.3186813186817</v>
      </c>
      <c r="BF112" s="67"/>
      <c r="BG112" s="66"/>
      <c r="BH112" s="68">
        <f t="shared" si="8"/>
        <v>0</v>
      </c>
      <c r="BI112" s="67"/>
      <c r="BJ112" s="1">
        <f>IF(BC112=0,"",('All Data'!Z112-'[1]DCDC Ref'!$J$28*('[1]DCDC Ref'!$J$29/100))/'[1]DCDC Ref'!$J$28*('[1]DCDC Ref'!$J$29/100)*100)</f>
        <v>-63.24137931034484</v>
      </c>
      <c r="BK112" s="68">
        <f t="shared" si="9"/>
        <v>10000</v>
      </c>
      <c r="BL112" s="68"/>
      <c r="BM112" s="68"/>
      <c r="BN112" s="68"/>
      <c r="BO112" s="68"/>
      <c r="BQ112" s="5">
        <f t="shared" si="12"/>
        <v>16956593.406593408</v>
      </c>
      <c r="BR112" s="5">
        <f>IF(BQ112="","",RANK(BQ112,BQ$11:BQ$9930,1)+COUNTIF(BQ$11:BQ112,BQ112)-1)</f>
        <v>125</v>
      </c>
      <c r="BS112" s="69">
        <f t="shared" si="10"/>
        <v>125</v>
      </c>
      <c r="BT112" s="1" t="str">
        <f>IFERROR(INDEX($O$11:$O$1013,MATCH(ROWS($BS$11:BS112),$BS$11:$BS$1005,0)),"")</f>
        <v>ETQP4M100KFN</v>
      </c>
      <c r="BU112" s="69" t="str">
        <f t="shared" si="13"/>
        <v>ETQP4M100KFN</v>
      </c>
    </row>
    <row r="113" spans="1:75">
      <c r="A113" s="1">
        <v>7</v>
      </c>
      <c r="B113" s="28" t="s">
        <v>109</v>
      </c>
      <c r="D113" s="1" t="s">
        <v>110</v>
      </c>
      <c r="E113" s="58"/>
      <c r="F113" s="1" t="s">
        <v>111</v>
      </c>
      <c r="G113" s="2" t="s">
        <v>112</v>
      </c>
      <c r="H113" s="1" t="s">
        <v>113</v>
      </c>
      <c r="I113" s="2" t="s">
        <v>114</v>
      </c>
      <c r="J113" s="1" t="s">
        <v>115</v>
      </c>
      <c r="K113" s="1" t="s">
        <v>116</v>
      </c>
      <c r="L113" s="1" t="s">
        <v>236</v>
      </c>
      <c r="M113" s="1" t="s">
        <v>254</v>
      </c>
      <c r="N113" s="1" t="s">
        <v>119</v>
      </c>
      <c r="O113" s="59" t="s">
        <v>402</v>
      </c>
      <c r="P113" s="60" t="str">
        <f>MID(All_PCC_a[[#This Row],[Part Number]],7,3)</f>
        <v>330</v>
      </c>
      <c r="Q113" s="61">
        <v>33</v>
      </c>
      <c r="R113" s="61" t="str">
        <f>IF(All_PCC_a[[#This Row],[Lo (uH)]]&lt;1,"&lt;1",IF(All_PCC_a[[#This Row],[Lo (uH)]]&lt;10,"&lt;10",IF(All_PCC_a[[#This Row],[Lo (uH)]]&lt;100,"&lt;100",IF(All_PCC_a[[#This Row],[Lo (uH)]]&lt;2000,"&lt;2000",""))))</f>
        <v>&lt;100</v>
      </c>
      <c r="S113" s="61" t="str">
        <f>IFERROR(VLOOKUP(All_PCC_a[[#This Row],[Lo (uH)]],[1]Utility!$D$5:$E$43,2,1),"-")</f>
        <v>≤  40</v>
      </c>
      <c r="T113" s="62">
        <v>0.2</v>
      </c>
      <c r="U113" s="70">
        <v>172</v>
      </c>
      <c r="V113" s="70">
        <v>189.2</v>
      </c>
      <c r="W113" s="61">
        <v>10</v>
      </c>
      <c r="X113" s="61">
        <v>2.5</v>
      </c>
      <c r="Y113" s="61">
        <v>2</v>
      </c>
      <c r="Z113" s="64">
        <v>4.0999999999999996</v>
      </c>
      <c r="AA113" s="61">
        <v>2.98</v>
      </c>
      <c r="AB113" s="1">
        <v>6.5</v>
      </c>
      <c r="AC113" s="1">
        <v>6</v>
      </c>
      <c r="AD113" s="61">
        <v>4.5</v>
      </c>
      <c r="AE113" s="1">
        <f>ROUND(All_PCC_a[[#This Row],[L (mm)]]*All_PCC_a[[#This Row],[W (mm)]],1)</f>
        <v>39</v>
      </c>
      <c r="AF113" s="61" t="str">
        <f>All_PCC_a[[#This Row],[L (mm)]]&amp;"  x  "&amp;All_PCC_a[[#This Row],[W (mm)]]</f>
        <v>6,5  x  6</v>
      </c>
      <c r="AG113" s="65" t="s">
        <v>156</v>
      </c>
      <c r="AH113" s="61" t="str">
        <f>IF(All_PCC_a[[#This Row],[Max Height (mm)]]&lt;=9,"≤ "&amp;ROUNDUP(AD113,0),"≤"&amp;ROUNDUP(AD113,0))</f>
        <v>≤ 5</v>
      </c>
      <c r="AI113" s="1">
        <v>-40</v>
      </c>
      <c r="AJ113" s="1">
        <v>150</v>
      </c>
      <c r="AK113" s="1" t="str">
        <f>All_PCC_a[[#This Row],[Min Temp (deg.C)]]&amp;" to +"&amp;All_PCC_a[[#This Row],[Max Temp (deg.C)]]</f>
        <v>-40 to +150</v>
      </c>
      <c r="AL113" s="1"/>
      <c r="AO113" s="61" t="s">
        <v>122</v>
      </c>
      <c r="AP113" s="61" t="str">
        <f t="shared" si="15"/>
        <v>-</v>
      </c>
      <c r="AQ113" s="61" t="s">
        <v>122</v>
      </c>
      <c r="AR113" s="61" t="s">
        <v>122</v>
      </c>
      <c r="AS113" s="1" t="s">
        <v>403</v>
      </c>
      <c r="AT113" s="1" t="s">
        <v>124</v>
      </c>
      <c r="AU113" s="1" t="e" vm="1">
        <f ca="1">_xlfn.IMAGE(All_PCC_a[[#This Row],[Image URL]])</f>
        <v>#NAME?</v>
      </c>
      <c r="AW113" s="1"/>
      <c r="AY113" s="1"/>
      <c r="BC113" s="1">
        <f>IF(Z113&lt;('[1]DCDC Ref'!$J$24/'[1]DCDC Ref'!$J$26)*'[1]DCDC Ref'!$J$28/100,0,1)</f>
        <v>1</v>
      </c>
      <c r="BD113" s="66">
        <f>IF(BC113=1000000000,"",('All Data'!Q113-'[1]DCDC Ref'!$J$30)/'[1]DCDC Ref'!$J$30*100)</f>
        <v>5121.9780219780223</v>
      </c>
      <c r="BE113" s="67">
        <f t="shared" si="11"/>
        <v>5121.9780219780223</v>
      </c>
      <c r="BF113" s="67"/>
      <c r="BG113" s="66"/>
      <c r="BH113" s="68">
        <f t="shared" si="8"/>
        <v>0</v>
      </c>
      <c r="BI113" s="67"/>
      <c r="BJ113" s="1">
        <f>IF(BC113=0,"",('All Data'!Z113-'[1]DCDC Ref'!$J$28*('[1]DCDC Ref'!$J$29/100))/'[1]DCDC Ref'!$J$28*('[1]DCDC Ref'!$J$29/100)*100)</f>
        <v>-63.24137931034484</v>
      </c>
      <c r="BK113" s="68">
        <f t="shared" si="9"/>
        <v>10000</v>
      </c>
      <c r="BL113" s="68"/>
      <c r="BM113" s="68"/>
      <c r="BN113" s="68"/>
      <c r="BO113" s="68"/>
      <c r="BQ113" s="5">
        <f t="shared" si="12"/>
        <v>25659890.109890111</v>
      </c>
      <c r="BR113" s="5">
        <f>IF(BQ113="","",RANK(BQ113,BQ$11:BQ$9930,1)+COUNTIF(BQ$11:BQ113,BQ113)-1)</f>
        <v>127</v>
      </c>
      <c r="BS113" s="69">
        <f t="shared" si="10"/>
        <v>127</v>
      </c>
      <c r="BT113" s="1" t="str">
        <f>IFERROR(INDEX($O$11:$O$1013,MATCH(ROWS($BS$11:BS113),$BS$11:$BS$1005,0)),"")</f>
        <v>ETQP4M100KFM</v>
      </c>
      <c r="BU113" s="69" t="str">
        <f t="shared" si="13"/>
        <v>ETQP4M100KFM</v>
      </c>
    </row>
    <row r="114" spans="1:75" ht="15">
      <c r="A114" s="1">
        <v>20</v>
      </c>
      <c r="B114" s="28" t="s">
        <v>109</v>
      </c>
      <c r="D114" s="1" t="s">
        <v>110</v>
      </c>
      <c r="E114" s="58"/>
      <c r="F114" s="1" t="s">
        <v>111</v>
      </c>
      <c r="G114" s="2" t="s">
        <v>112</v>
      </c>
      <c r="H114" s="1" t="s">
        <v>113</v>
      </c>
      <c r="I114" s="2" t="s">
        <v>114</v>
      </c>
      <c r="J114" s="1" t="s">
        <v>115</v>
      </c>
      <c r="K114" s="1" t="s">
        <v>116</v>
      </c>
      <c r="L114" s="1" t="s">
        <v>195</v>
      </c>
      <c r="M114" s="1" t="s">
        <v>196</v>
      </c>
      <c r="N114" s="1" t="s">
        <v>154</v>
      </c>
      <c r="O114" s="59" t="s">
        <v>404</v>
      </c>
      <c r="P114" s="60" t="str">
        <f>MID(All_PCC_a[[#This Row],[Part Number]],7,3)</f>
        <v>330</v>
      </c>
      <c r="Q114" s="61">
        <v>33</v>
      </c>
      <c r="R114" s="61" t="str">
        <f>IF(All_PCC_a[[#This Row],[Lo (uH)]]&lt;1,"&lt;1",IF(All_PCC_a[[#This Row],[Lo (uH)]]&lt;10,"&lt;10",IF(All_PCC_a[[#This Row],[Lo (uH)]]&lt;100,"&lt;100",IF(All_PCC_a[[#This Row],[Lo (uH)]]&lt;2000,"&lt;2000",""))))</f>
        <v>&lt;100</v>
      </c>
      <c r="S114" s="61" t="str">
        <f>IFERROR(VLOOKUP(All_PCC_a[[#This Row],[Lo (uH)]],[1]Utility!$D$5:$E$43,2,1),"-")</f>
        <v>≤  40</v>
      </c>
      <c r="T114" s="62">
        <v>0.2</v>
      </c>
      <c r="U114" s="63">
        <v>68.5</v>
      </c>
      <c r="V114" s="63">
        <v>75.400000000000006</v>
      </c>
      <c r="W114" s="61">
        <v>10</v>
      </c>
      <c r="X114" s="61">
        <v>5</v>
      </c>
      <c r="Y114" s="61">
        <v>4.2</v>
      </c>
      <c r="Z114" s="64">
        <v>7.6</v>
      </c>
      <c r="AA114" s="61">
        <v>5.48</v>
      </c>
      <c r="AB114" s="1">
        <v>10.7</v>
      </c>
      <c r="AC114" s="1">
        <v>10</v>
      </c>
      <c r="AD114" s="61">
        <v>5.4</v>
      </c>
      <c r="AE114" s="1">
        <f>ROUND(All_PCC_a[[#This Row],[L (mm)]]*All_PCC_a[[#This Row],[W (mm)]],1)</f>
        <v>107</v>
      </c>
      <c r="AF114" s="61" t="str">
        <f>All_PCC_a[[#This Row],[L (mm)]]&amp;"  x  "&amp;All_PCC_a[[#This Row],[W (mm)]]</f>
        <v>10,7  x  10</v>
      </c>
      <c r="AG114" s="76" t="s">
        <v>121</v>
      </c>
      <c r="AH114" s="61" t="str">
        <f>IF(All_PCC_a[[#This Row],[Max Height (mm)]]&lt;=9,"≤ "&amp;ROUNDUP(AD114,0),"≤"&amp;ROUNDUP(AD114,0))</f>
        <v>≤ 6</v>
      </c>
      <c r="AI114" s="11">
        <v>-40</v>
      </c>
      <c r="AJ114" s="11">
        <v>150</v>
      </c>
      <c r="AK114" s="1" t="str">
        <f>All_PCC_a[[#This Row],[Min Temp (deg.C)]]&amp;" to +"&amp;All_PCC_a[[#This Row],[Max Temp (deg.C)]]</f>
        <v>-40 to +150</v>
      </c>
      <c r="AL114" s="1"/>
      <c r="AO114" s="61" t="s">
        <v>144</v>
      </c>
      <c r="AP114" s="61" t="str">
        <f t="shared" si="15"/>
        <v>-</v>
      </c>
      <c r="AQ114" s="61" t="s">
        <v>122</v>
      </c>
      <c r="AR114" s="61" t="s">
        <v>122</v>
      </c>
      <c r="AS114" s="1" t="s">
        <v>405</v>
      </c>
      <c r="AT114" s="1" t="s">
        <v>124</v>
      </c>
      <c r="AU114" s="1" t="e" vm="1">
        <f ca="1">_xlfn.IMAGE(All_PCC_a[[#This Row],[Image URL]])</f>
        <v>#NAME?</v>
      </c>
      <c r="AW114" s="1"/>
      <c r="AY114" s="1"/>
      <c r="BC114" s="1">
        <f>IF(Z114&lt;('[1]DCDC Ref'!$J$24/'[1]DCDC Ref'!$J$26)*'[1]DCDC Ref'!$J$28/100,0,1)</f>
        <v>1</v>
      </c>
      <c r="BD114" s="66">
        <f>IF(BC114=1000000000,"",('All Data'!Q114-'[1]DCDC Ref'!$J$30)/'[1]DCDC Ref'!$J$30*100)</f>
        <v>5121.9780219780223</v>
      </c>
      <c r="BE114" s="67">
        <f t="shared" si="11"/>
        <v>5121.9780219780223</v>
      </c>
      <c r="BF114" s="67"/>
      <c r="BG114" s="66"/>
      <c r="BH114" s="68">
        <f t="shared" si="8"/>
        <v>0</v>
      </c>
      <c r="BI114" s="67"/>
      <c r="BJ114" s="1">
        <f>IF(BC114=0,"",('All Data'!Z114-'[1]DCDC Ref'!$J$28*('[1]DCDC Ref'!$J$29/100))/'[1]DCDC Ref'!$J$28*('[1]DCDC Ref'!$J$29/100)*100)</f>
        <v>-31.862068965517253</v>
      </c>
      <c r="BK114" s="68">
        <f t="shared" si="9"/>
        <v>10000</v>
      </c>
      <c r="BL114" s="68"/>
      <c r="BM114" s="68"/>
      <c r="BN114" s="68"/>
      <c r="BO114" s="68"/>
      <c r="BQ114" s="5">
        <f t="shared" si="12"/>
        <v>25659890.109890111</v>
      </c>
      <c r="BR114" s="5">
        <f>IF(BQ114="","",RANK(BQ114,BQ$11:BQ$9930,1)+COUNTIF(BQ$11:BQ114,BQ114)-1)</f>
        <v>128</v>
      </c>
      <c r="BS114" s="69">
        <f t="shared" si="10"/>
        <v>128</v>
      </c>
      <c r="BT114" s="1" t="str">
        <f>IFERROR(INDEX($O$11:$O$1013,MATCH(ROWS($BS$11:BS114),$BS$11:$BS$1005,0)),"")</f>
        <v>ETQP5M100GAK</v>
      </c>
      <c r="BU114" s="69" t="str">
        <f t="shared" si="13"/>
        <v>ETQP5M100GAK</v>
      </c>
    </row>
    <row r="115" spans="1:75" ht="15">
      <c r="A115" s="1">
        <v>34</v>
      </c>
      <c r="B115" s="28" t="s">
        <v>109</v>
      </c>
      <c r="D115" s="1" t="s">
        <v>110</v>
      </c>
      <c r="E115" s="58"/>
      <c r="F115" s="1" t="s">
        <v>111</v>
      </c>
      <c r="G115" s="2" t="s">
        <v>112</v>
      </c>
      <c r="H115" s="1" t="s">
        <v>113</v>
      </c>
      <c r="I115" s="2" t="s">
        <v>114</v>
      </c>
      <c r="J115" s="1" t="s">
        <v>115</v>
      </c>
      <c r="K115" s="1" t="s">
        <v>116</v>
      </c>
      <c r="L115" s="1" t="s">
        <v>279</v>
      </c>
      <c r="M115" s="1" t="s">
        <v>297</v>
      </c>
      <c r="N115" s="1" t="s">
        <v>154</v>
      </c>
      <c r="O115" s="59" t="s">
        <v>406</v>
      </c>
      <c r="P115" s="60" t="str">
        <f>MID(All_PCC_a[[#This Row],[Part Number]],7,3)</f>
        <v>330</v>
      </c>
      <c r="Q115" s="61">
        <v>33</v>
      </c>
      <c r="R115" s="61" t="str">
        <f>IF(All_PCC_a[[#This Row],[Lo (uH)]]&lt;1,"&lt;1",IF(All_PCC_a[[#This Row],[Lo (uH)]]&lt;10,"&lt;10",IF(All_PCC_a[[#This Row],[Lo (uH)]]&lt;100,"&lt;100",IF(All_PCC_a[[#This Row],[Lo (uH)]]&lt;2000,"&lt;2000",""))))</f>
        <v>&lt;100</v>
      </c>
      <c r="S115" s="61" t="str">
        <f>IFERROR(VLOOKUP(All_PCC_a[[#This Row],[Lo (uH)]],[1]Utility!$D$5:$E$43,2,1),"-")</f>
        <v>≤  40</v>
      </c>
      <c r="T115" s="62">
        <v>0.2</v>
      </c>
      <c r="U115" s="63">
        <v>120</v>
      </c>
      <c r="V115" s="63">
        <v>132</v>
      </c>
      <c r="W115" s="61">
        <v>10</v>
      </c>
      <c r="X115" s="61">
        <v>3.3</v>
      </c>
      <c r="Y115" s="61">
        <v>2.6</v>
      </c>
      <c r="Z115" s="64">
        <v>4.8</v>
      </c>
      <c r="AA115" s="61">
        <v>3.4</v>
      </c>
      <c r="AB115" s="1">
        <v>7.5</v>
      </c>
      <c r="AC115" s="1">
        <v>7</v>
      </c>
      <c r="AD115" s="61">
        <v>5.4</v>
      </c>
      <c r="AE115" s="1">
        <f>ROUND(All_PCC_a[[#This Row],[L (mm)]]*All_PCC_a[[#This Row],[W (mm)]],1)</f>
        <v>52.5</v>
      </c>
      <c r="AF115" s="61" t="str">
        <f>All_PCC_a[[#This Row],[L (mm)]]&amp;"  x  "&amp;All_PCC_a[[#This Row],[W (mm)]]</f>
        <v>7,5  x  7</v>
      </c>
      <c r="AG115" s="98" t="s">
        <v>282</v>
      </c>
      <c r="AH115" s="61" t="str">
        <f>IF(All_PCC_a[[#This Row],[Max Height (mm)]]&lt;=9,"≤ "&amp;ROUNDUP(AD115,0),"≤"&amp;ROUNDUP(AD115,0))</f>
        <v>≤ 6</v>
      </c>
      <c r="AI115" s="11">
        <v>-40</v>
      </c>
      <c r="AJ115" s="11">
        <v>150</v>
      </c>
      <c r="AK115" s="1" t="str">
        <f>All_PCC_a[[#This Row],[Min Temp (deg.C)]]&amp;" to +"&amp;All_PCC_a[[#This Row],[Max Temp (deg.C)]]</f>
        <v>-40 to +150</v>
      </c>
      <c r="AL115" s="1"/>
      <c r="AO115" s="61" t="s">
        <v>144</v>
      </c>
      <c r="AP115" s="61" t="str">
        <f t="shared" si="15"/>
        <v>-</v>
      </c>
      <c r="AQ115" s="61" t="s">
        <v>122</v>
      </c>
      <c r="AR115" s="61" t="s">
        <v>122</v>
      </c>
      <c r="AS115" s="1" t="s">
        <v>407</v>
      </c>
      <c r="AT115" s="1" t="s">
        <v>124</v>
      </c>
      <c r="AU115" s="1" t="e" vm="1">
        <f ca="1">_xlfn.IMAGE(All_PCC_a[[#This Row],[Image URL]])</f>
        <v>#NAME?</v>
      </c>
      <c r="AW115" s="1"/>
      <c r="AY115" s="1"/>
      <c r="BC115" s="1">
        <f>IF(Z115&lt;('[1]DCDC Ref'!$J$24/'[1]DCDC Ref'!$J$26)*'[1]DCDC Ref'!$J$28/100,0,1)</f>
        <v>1</v>
      </c>
      <c r="BD115" s="66">
        <f>IF(BC115=1000000000,"",('All Data'!Q115-'[1]DCDC Ref'!$J$30)/'[1]DCDC Ref'!$J$30*100)</f>
        <v>5121.9780219780223</v>
      </c>
      <c r="BE115" s="67">
        <f t="shared" si="11"/>
        <v>5121.9780219780223</v>
      </c>
      <c r="BF115" s="67"/>
      <c r="BG115" s="66"/>
      <c r="BH115" s="68">
        <f t="shared" si="8"/>
        <v>0</v>
      </c>
      <c r="BI115" s="67"/>
      <c r="BJ115" s="1">
        <f>IF(BC115=0,"",('All Data'!Z115-'[1]DCDC Ref'!$J$28*('[1]DCDC Ref'!$J$29/100))/'[1]DCDC Ref'!$J$28*('[1]DCDC Ref'!$J$29/100)*100)</f>
        <v>-56.965517241379317</v>
      </c>
      <c r="BK115" s="68">
        <f t="shared" si="9"/>
        <v>10000</v>
      </c>
      <c r="BL115" s="68"/>
      <c r="BM115" s="68"/>
      <c r="BN115" s="68"/>
      <c r="BO115" s="68"/>
      <c r="BQ115" s="5">
        <f t="shared" si="12"/>
        <v>25659890.109890111</v>
      </c>
      <c r="BR115" s="5">
        <f>IF(BQ115="","",RANK(BQ115,BQ$11:BQ$9930,1)+COUNTIF(BQ$11:BQ115,BQ115)-1)</f>
        <v>129</v>
      </c>
      <c r="BS115" s="69">
        <f t="shared" si="10"/>
        <v>129</v>
      </c>
      <c r="BT115" s="1" t="str">
        <f>IFERROR(INDEX($O$11:$O$1013,MATCH(ROWS($BS$11:BS115),$BS$11:$BS$1005,0)),"")</f>
        <v>ETQP4M100YFP</v>
      </c>
      <c r="BU115" s="69" t="str">
        <f t="shared" si="13"/>
        <v>ETQP4M100YFP</v>
      </c>
    </row>
    <row r="116" spans="1:75" s="75" customFormat="1" ht="15">
      <c r="A116" s="1">
        <v>60</v>
      </c>
      <c r="B116" s="28" t="s">
        <v>109</v>
      </c>
      <c r="C116" s="1"/>
      <c r="D116" s="1" t="s">
        <v>110</v>
      </c>
      <c r="E116" s="58"/>
      <c r="F116" s="1" t="s">
        <v>111</v>
      </c>
      <c r="G116" s="2" t="s">
        <v>112</v>
      </c>
      <c r="H116" s="1" t="s">
        <v>113</v>
      </c>
      <c r="I116" s="2" t="s">
        <v>114</v>
      </c>
      <c r="J116" s="1" t="s">
        <v>115</v>
      </c>
      <c r="K116" s="1" t="s">
        <v>134</v>
      </c>
      <c r="L116" s="1" t="s">
        <v>164</v>
      </c>
      <c r="M116" s="1" t="s">
        <v>165</v>
      </c>
      <c r="N116" s="1" t="s">
        <v>119</v>
      </c>
      <c r="O116" s="59" t="s">
        <v>408</v>
      </c>
      <c r="P116" s="60" t="str">
        <f>MID(All_PCC_a[[#This Row],[Part Number]],7,3)</f>
        <v>330</v>
      </c>
      <c r="Q116" s="61">
        <v>33</v>
      </c>
      <c r="R116" s="61" t="str">
        <f>IF(All_PCC_a[[#This Row],[Lo (uH)]]&lt;1,"&lt;1",IF(All_PCC_a[[#This Row],[Lo (uH)]]&lt;10,"&lt;10",IF(All_PCC_a[[#This Row],[Lo (uH)]]&lt;100,"&lt;100",IF(All_PCC_a[[#This Row],[Lo (uH)]]&lt;2000,"&lt;2000",""))))</f>
        <v>&lt;100</v>
      </c>
      <c r="S116" s="61" t="str">
        <f>IFERROR(VLOOKUP(All_PCC_a[[#This Row],[Lo (uH)]],[1]Utility!$D$5:$E$43,2,1),"-")</f>
        <v>≤  40</v>
      </c>
      <c r="T116" s="62">
        <v>0.2</v>
      </c>
      <c r="U116" s="63">
        <v>206</v>
      </c>
      <c r="V116" s="63">
        <v>226.6</v>
      </c>
      <c r="W116" s="61">
        <v>10</v>
      </c>
      <c r="X116" s="61">
        <v>2.1</v>
      </c>
      <c r="Y116" s="61">
        <v>1.7</v>
      </c>
      <c r="Z116" s="64">
        <v>3</v>
      </c>
      <c r="AA116" s="61">
        <v>2.1</v>
      </c>
      <c r="AB116" s="1">
        <v>6.4</v>
      </c>
      <c r="AC116" s="1">
        <v>6</v>
      </c>
      <c r="AD116" s="61">
        <v>3</v>
      </c>
      <c r="AE116" s="1">
        <f>ROUND(All_PCC_a[[#This Row],[L (mm)]]*All_PCC_a[[#This Row],[W (mm)]],1)</f>
        <v>38.4</v>
      </c>
      <c r="AF116" s="61" t="str">
        <f>All_PCC_a[[#This Row],[L (mm)]]&amp;"  x  "&amp;All_PCC_a[[#This Row],[W (mm)]]</f>
        <v>6,4  x  6</v>
      </c>
      <c r="AG116" s="65" t="s">
        <v>156</v>
      </c>
      <c r="AH116" s="61" t="str">
        <f>IF(All_PCC_a[[#This Row],[Max Height (mm)]]&lt;=9,"≤ "&amp;ROUNDUP(AD116,0),"≤"&amp;ROUNDUP(AD116,0))</f>
        <v>≤ 3</v>
      </c>
      <c r="AI116" s="1">
        <v>-55</v>
      </c>
      <c r="AJ116" s="1">
        <v>155</v>
      </c>
      <c r="AK116" s="1" t="str">
        <f>All_PCC_a[[#This Row],[Min Temp (deg.C)]]&amp;" to +"&amp;All_PCC_a[[#This Row],[Max Temp (deg.C)]]</f>
        <v>-55 to +155</v>
      </c>
      <c r="AL116" s="1"/>
      <c r="AM116" s="1"/>
      <c r="AN116" s="1"/>
      <c r="AO116" s="61" t="s">
        <v>122</v>
      </c>
      <c r="AP116" s="61" t="str">
        <f t="shared" si="15"/>
        <v>-</v>
      </c>
      <c r="AQ116" s="61" t="s">
        <v>122</v>
      </c>
      <c r="AR116" s="61" t="s">
        <v>122</v>
      </c>
      <c r="AS116" s="1" t="s">
        <v>409</v>
      </c>
      <c r="AT116" s="1" t="s">
        <v>140</v>
      </c>
      <c r="AU116" s="1" t="e" vm="1">
        <f ca="1">_xlfn.IMAGE(All_PCC_a[[#This Row],[Image URL]])</f>
        <v>#NAME?</v>
      </c>
      <c r="AV116" s="1"/>
      <c r="AW116" s="1"/>
      <c r="BC116" s="1">
        <f>IF(Z116&lt;('[1]DCDC Ref'!$J$24/'[1]DCDC Ref'!$J$26)*'[1]DCDC Ref'!$J$28/100,0,1)</f>
        <v>1</v>
      </c>
      <c r="BD116" s="66">
        <f>IF(BC116=1000000000,"",('All Data'!Q116-'[1]DCDC Ref'!$J$30)/'[1]DCDC Ref'!$J$30*100)</f>
        <v>5121.9780219780223</v>
      </c>
      <c r="BE116" s="67">
        <f t="shared" si="11"/>
        <v>5121.9780219780223</v>
      </c>
      <c r="BF116" s="67"/>
      <c r="BG116" s="66"/>
      <c r="BH116" s="68">
        <f t="shared" si="8"/>
        <v>0</v>
      </c>
      <c r="BI116" s="67"/>
      <c r="BJ116" s="1">
        <f>IF(BC116=0,"",('All Data'!Z116-'[1]DCDC Ref'!$J$28*('[1]DCDC Ref'!$J$29/100))/'[1]DCDC Ref'!$J$28*('[1]DCDC Ref'!$J$29/100)*100)</f>
        <v>-73.103448275862064</v>
      </c>
      <c r="BK116" s="68">
        <f t="shared" si="9"/>
        <v>10000</v>
      </c>
      <c r="BL116" s="68"/>
      <c r="BM116" s="68"/>
      <c r="BN116" s="68"/>
      <c r="BO116" s="68"/>
      <c r="BP116" s="1"/>
      <c r="BQ116" s="5">
        <f t="shared" si="12"/>
        <v>25659890.109890111</v>
      </c>
      <c r="BR116" s="5">
        <f>IF(BQ116="","",RANK(BQ116,BQ$11:BQ$9930,1)+COUNTIF(BQ$11:BQ116,BQ116)-1)</f>
        <v>130</v>
      </c>
      <c r="BS116" s="69">
        <f t="shared" si="10"/>
        <v>130</v>
      </c>
      <c r="BT116" s="1" t="str">
        <f>IFERROR(INDEX($O$11:$O$1013,MATCH(ROWS($BS$11:BS116),$BS$11:$BS$1005,0)),"")</f>
        <v>ETQP6M150KLC</v>
      </c>
      <c r="BU116" s="69" t="str">
        <f t="shared" si="13"/>
        <v>ETQP6M150KLC</v>
      </c>
      <c r="BV116" s="1"/>
      <c r="BW116" s="1"/>
    </row>
    <row r="117" spans="1:75" s="75" customFormat="1" ht="15">
      <c r="A117" s="1">
        <v>71</v>
      </c>
      <c r="B117" s="28" t="s">
        <v>109</v>
      </c>
      <c r="C117" s="1"/>
      <c r="D117" s="1" t="s">
        <v>110</v>
      </c>
      <c r="E117" s="58"/>
      <c r="F117" s="1" t="s">
        <v>111</v>
      </c>
      <c r="G117" s="2" t="s">
        <v>112</v>
      </c>
      <c r="H117" s="1" t="s">
        <v>113</v>
      </c>
      <c r="I117" s="2" t="s">
        <v>114</v>
      </c>
      <c r="J117" s="1" t="s">
        <v>115</v>
      </c>
      <c r="K117" s="1" t="s">
        <v>134</v>
      </c>
      <c r="L117" s="1" t="s">
        <v>168</v>
      </c>
      <c r="M117" s="1" t="s">
        <v>169</v>
      </c>
      <c r="N117" s="1" t="s">
        <v>119</v>
      </c>
      <c r="O117" s="59" t="s">
        <v>410</v>
      </c>
      <c r="P117" s="60" t="str">
        <f>MID(All_PCC_a[[#This Row],[Part Number]],7,3)</f>
        <v>330</v>
      </c>
      <c r="Q117" s="61">
        <v>33</v>
      </c>
      <c r="R117" s="61" t="str">
        <f>IF(All_PCC_a[[#This Row],[Lo (uH)]]&lt;1,"&lt;1",IF(All_PCC_a[[#This Row],[Lo (uH)]]&lt;10,"&lt;10",IF(All_PCC_a[[#This Row],[Lo (uH)]]&lt;100,"&lt;100",IF(All_PCC_a[[#This Row],[Lo (uH)]]&lt;2000,"&lt;2000",""))))</f>
        <v>&lt;100</v>
      </c>
      <c r="S117" s="61" t="str">
        <f>IFERROR(VLOOKUP(All_PCC_a[[#This Row],[Lo (uH)]],[1]Utility!$D$5:$E$43,2,1),"-")</f>
        <v>≤  40</v>
      </c>
      <c r="T117" s="62">
        <v>0.2</v>
      </c>
      <c r="U117" s="63">
        <v>118</v>
      </c>
      <c r="V117" s="63">
        <v>129.80000000000001</v>
      </c>
      <c r="W117" s="61">
        <v>10</v>
      </c>
      <c r="X117" s="61">
        <v>3.1</v>
      </c>
      <c r="Y117" s="61">
        <v>2.6</v>
      </c>
      <c r="Z117" s="64">
        <v>4.7</v>
      </c>
      <c r="AA117" s="61">
        <v>3.74</v>
      </c>
      <c r="AB117" s="1">
        <v>8.4</v>
      </c>
      <c r="AC117" s="1">
        <v>8</v>
      </c>
      <c r="AD117" s="61">
        <v>4</v>
      </c>
      <c r="AE117" s="1">
        <f>ROUND(All_PCC_a[[#This Row],[L (mm)]]*All_PCC_a[[#This Row],[W (mm)]],1)</f>
        <v>67.2</v>
      </c>
      <c r="AF117" s="61" t="str">
        <f>All_PCC_a[[#This Row],[L (mm)]]&amp;"  x  "&amp;All_PCC_a[[#This Row],[W (mm)]]</f>
        <v>8,4  x  8</v>
      </c>
      <c r="AG117" s="76" t="s">
        <v>171</v>
      </c>
      <c r="AH117" s="61" t="str">
        <f>IF(All_PCC_a[[#This Row],[Max Height (mm)]]&lt;=9,"≤ "&amp;ROUNDUP(AD117,0),"≤"&amp;ROUNDUP(AD117,0))</f>
        <v>≤ 4</v>
      </c>
      <c r="AI117" s="1">
        <v>-55</v>
      </c>
      <c r="AJ117" s="1">
        <v>155</v>
      </c>
      <c r="AK117" s="1" t="str">
        <f>All_PCC_a[[#This Row],[Min Temp (deg.C)]]&amp;" to +"&amp;All_PCC_a[[#This Row],[Max Temp (deg.C)]]</f>
        <v>-55 to +155</v>
      </c>
      <c r="AL117" s="1"/>
      <c r="AM117" s="1"/>
      <c r="AN117" s="1"/>
      <c r="AO117" s="61" t="s">
        <v>122</v>
      </c>
      <c r="AP117" s="61" t="str">
        <f t="shared" si="15"/>
        <v>-</v>
      </c>
      <c r="AQ117" s="61" t="s">
        <v>122</v>
      </c>
      <c r="AR117" s="61" t="s">
        <v>122</v>
      </c>
      <c r="AS117" s="1" t="s">
        <v>411</v>
      </c>
      <c r="AT117" s="1" t="s">
        <v>140</v>
      </c>
      <c r="AU117" s="1" t="e" vm="1">
        <f ca="1">_xlfn.IMAGE(All_PCC_a[[#This Row],[Image URL]])</f>
        <v>#NAME?</v>
      </c>
      <c r="AV117" s="1"/>
      <c r="AW117" s="1"/>
      <c r="BC117" s="1">
        <f>IF(Z117&lt;('[1]DCDC Ref'!$J$24/'[1]DCDC Ref'!$J$26)*'[1]DCDC Ref'!$J$28/100,0,1)</f>
        <v>1</v>
      </c>
      <c r="BD117" s="66">
        <f>IF(BC117=1000000000,"",('All Data'!Q117-'[1]DCDC Ref'!$J$30)/'[1]DCDC Ref'!$J$30*100)</f>
        <v>5121.9780219780223</v>
      </c>
      <c r="BE117" s="67">
        <f t="shared" si="11"/>
        <v>5121.9780219780223</v>
      </c>
      <c r="BF117" s="67"/>
      <c r="BG117" s="66"/>
      <c r="BH117" s="68">
        <f t="shared" si="8"/>
        <v>0</v>
      </c>
      <c r="BI117" s="67"/>
      <c r="BJ117" s="1">
        <f>IF(BC117=0,"",('All Data'!Z117-'[1]DCDC Ref'!$J$28*('[1]DCDC Ref'!$J$29/100))/'[1]DCDC Ref'!$J$28*('[1]DCDC Ref'!$J$29/100)*100)</f>
        <v>-57.862068965517246</v>
      </c>
      <c r="BK117" s="68">
        <f t="shared" si="9"/>
        <v>10000</v>
      </c>
      <c r="BL117" s="68"/>
      <c r="BM117" s="68"/>
      <c r="BN117" s="68"/>
      <c r="BO117" s="68"/>
      <c r="BP117" s="1"/>
      <c r="BQ117" s="5">
        <f t="shared" si="12"/>
        <v>25659890.109890111</v>
      </c>
      <c r="BR117" s="5">
        <f>IF(BQ117="","",RANK(BQ117,BQ$11:BQ$9930,1)+COUNTIF(BQ$11:BQ117,BQ117)-1)</f>
        <v>131</v>
      </c>
      <c r="BS117" s="69">
        <f t="shared" si="10"/>
        <v>131</v>
      </c>
      <c r="BT117" s="1" t="str">
        <f>IFERROR(INDEX($O$11:$O$1013,MATCH(ROWS($BS$11:BS117),$BS$11:$BS$1005,0)),"")</f>
        <v>ETQP5M150YFC</v>
      </c>
      <c r="BU117" s="69" t="str">
        <f t="shared" si="13"/>
        <v>ETQP5M150YFC</v>
      </c>
      <c r="BV117" s="1"/>
      <c r="BW117" s="1"/>
    </row>
    <row r="118" spans="1:75" s="75" customFormat="1" ht="15">
      <c r="A118" s="1">
        <v>83</v>
      </c>
      <c r="B118" s="28" t="s">
        <v>109</v>
      </c>
      <c r="C118" s="1"/>
      <c r="D118" s="1" t="s">
        <v>110</v>
      </c>
      <c r="E118" s="58"/>
      <c r="F118" s="1" t="s">
        <v>111</v>
      </c>
      <c r="G118" s="2" t="s">
        <v>112</v>
      </c>
      <c r="H118" s="1" t="s">
        <v>113</v>
      </c>
      <c r="I118" s="2" t="s">
        <v>114</v>
      </c>
      <c r="J118" s="1" t="s">
        <v>115</v>
      </c>
      <c r="K118" s="1" t="s">
        <v>134</v>
      </c>
      <c r="L118" s="1" t="s">
        <v>191</v>
      </c>
      <c r="M118" s="1" t="s">
        <v>192</v>
      </c>
      <c r="N118" s="1" t="s">
        <v>119</v>
      </c>
      <c r="O118" s="59" t="s">
        <v>412</v>
      </c>
      <c r="P118" s="60" t="str">
        <f>MID(All_PCC_a[[#This Row],[Part Number]],7,3)</f>
        <v>330</v>
      </c>
      <c r="Q118" s="61">
        <v>33</v>
      </c>
      <c r="R118" s="61" t="str">
        <f>IF(All_PCC_a[[#This Row],[Lo (uH)]]&lt;1,"&lt;1",IF(All_PCC_a[[#This Row],[Lo (uH)]]&lt;10,"&lt;10",IF(All_PCC_a[[#This Row],[Lo (uH)]]&lt;100,"&lt;100",IF(All_PCC_a[[#This Row],[Lo (uH)]]&lt;2000,"&lt;2000",""))))</f>
        <v>&lt;100</v>
      </c>
      <c r="S118" s="61" t="str">
        <f>IFERROR(VLOOKUP(All_PCC_a[[#This Row],[Lo (uH)]],[1]Utility!$D$5:$E$43,2,1),"-")</f>
        <v>≤  40</v>
      </c>
      <c r="T118" s="62">
        <v>0.2</v>
      </c>
      <c r="U118" s="63">
        <v>84.6</v>
      </c>
      <c r="V118" s="63">
        <v>93.06</v>
      </c>
      <c r="W118" s="61">
        <v>10</v>
      </c>
      <c r="X118" s="61">
        <v>4.2</v>
      </c>
      <c r="Y118" s="86">
        <v>3.4</v>
      </c>
      <c r="Z118" s="87">
        <v>5.6</v>
      </c>
      <c r="AA118" s="61">
        <v>4.0599999999999996</v>
      </c>
      <c r="AB118" s="1">
        <v>10.7</v>
      </c>
      <c r="AC118" s="1">
        <v>10</v>
      </c>
      <c r="AD118" s="61">
        <v>4</v>
      </c>
      <c r="AE118" s="1">
        <f>ROUND(All_PCC_a[[#This Row],[L (mm)]]*All_PCC_a[[#This Row],[W (mm)]],1)</f>
        <v>107</v>
      </c>
      <c r="AF118" s="61" t="str">
        <f>All_PCC_a[[#This Row],[L (mm)]]&amp;"  x  "&amp;All_PCC_a[[#This Row],[W (mm)]]</f>
        <v>10,7  x  10</v>
      </c>
      <c r="AG118" s="65" t="s">
        <v>121</v>
      </c>
      <c r="AH118" s="61" t="str">
        <f>IF(All_PCC_a[[#This Row],[Max Height (mm)]]&lt;=9,"≤ "&amp;ROUNDUP(AD118,0),"≤"&amp;ROUNDUP(AD118,0))</f>
        <v>≤ 4</v>
      </c>
      <c r="AI118" s="1">
        <v>-55</v>
      </c>
      <c r="AJ118" s="1">
        <v>155</v>
      </c>
      <c r="AK118" s="1" t="str">
        <f>All_PCC_a[[#This Row],[Min Temp (deg.C)]]&amp;" to +"&amp;All_PCC_a[[#This Row],[Max Temp (deg.C)]]</f>
        <v>-55 to +155</v>
      </c>
      <c r="AL118" s="1"/>
      <c r="AM118" s="1"/>
      <c r="AN118" s="1"/>
      <c r="AO118" s="61" t="s">
        <v>122</v>
      </c>
      <c r="AP118" s="61" t="str">
        <f t="shared" si="15"/>
        <v>-</v>
      </c>
      <c r="AQ118" s="61" t="s">
        <v>122</v>
      </c>
      <c r="AR118" s="61" t="s">
        <v>122</v>
      </c>
      <c r="AS118" s="1" t="s">
        <v>413</v>
      </c>
      <c r="AT118" s="1" t="s">
        <v>140</v>
      </c>
      <c r="AU118" s="1" t="e" vm="1">
        <f ca="1">_xlfn.IMAGE(All_PCC_a[[#This Row],[Image URL]])</f>
        <v>#NAME?</v>
      </c>
      <c r="AV118" s="1"/>
      <c r="AW118" s="1"/>
      <c r="BC118" s="1">
        <f>IF(Z118&lt;('[1]DCDC Ref'!$J$24/'[1]DCDC Ref'!$J$26)*'[1]DCDC Ref'!$J$28/100,0,1)</f>
        <v>1</v>
      </c>
      <c r="BD118" s="66">
        <f>IF(BC118=1000000000,"",('All Data'!Q118-'[1]DCDC Ref'!$J$30)/'[1]DCDC Ref'!$J$30*100)</f>
        <v>5121.9780219780223</v>
      </c>
      <c r="BE118" s="67">
        <f t="shared" si="11"/>
        <v>5121.9780219780223</v>
      </c>
      <c r="BF118" s="67"/>
      <c r="BG118" s="66"/>
      <c r="BH118" s="68">
        <f t="shared" si="8"/>
        <v>0</v>
      </c>
      <c r="BI118" s="67"/>
      <c r="BJ118" s="1">
        <f>IF(BC118=0,"",('All Data'!Z118-'[1]DCDC Ref'!$J$28*('[1]DCDC Ref'!$J$29/100))/'[1]DCDC Ref'!$J$28*('[1]DCDC Ref'!$J$29/100)*100)</f>
        <v>-49.793103448275872</v>
      </c>
      <c r="BK118" s="68">
        <f t="shared" si="9"/>
        <v>10000</v>
      </c>
      <c r="BL118" s="68"/>
      <c r="BM118" s="68"/>
      <c r="BN118" s="68"/>
      <c r="BO118" s="68"/>
      <c r="BP118" s="1"/>
      <c r="BQ118" s="5">
        <f t="shared" si="12"/>
        <v>25659890.109890111</v>
      </c>
      <c r="BR118" s="5">
        <f>IF(BQ118="","",RANK(BQ118,BQ$11:BQ$9930,1)+COUNTIF(BQ$11:BQ118,BQ118)-1)</f>
        <v>132</v>
      </c>
      <c r="BS118" s="69">
        <f t="shared" si="10"/>
        <v>132</v>
      </c>
      <c r="BT118" s="1" t="str">
        <f>IFERROR(INDEX($O$11:$O$1013,MATCH(ROWS($BS$11:BS118),$BS$11:$BS$1005,0)),"")</f>
        <v>ETQP5M150YFK</v>
      </c>
      <c r="BU118" s="69" t="str">
        <f t="shared" si="13"/>
        <v>ETQP5M150YFK</v>
      </c>
      <c r="BV118" s="1"/>
      <c r="BW118" s="1"/>
    </row>
    <row r="119" spans="1:75" s="75" customFormat="1">
      <c r="A119" s="1">
        <v>120</v>
      </c>
      <c r="B119" s="28" t="s">
        <v>109</v>
      </c>
      <c r="C119" s="1" t="s">
        <v>146</v>
      </c>
      <c r="D119" s="1" t="s">
        <v>110</v>
      </c>
      <c r="E119" s="2"/>
      <c r="F119" s="1" t="s">
        <v>357</v>
      </c>
      <c r="G119" s="2" t="s">
        <v>112</v>
      </c>
      <c r="H119" s="1" t="s">
        <v>113</v>
      </c>
      <c r="I119" s="2" t="s">
        <v>114</v>
      </c>
      <c r="J119" s="1" t="s">
        <v>115</v>
      </c>
      <c r="K119" s="1" t="s">
        <v>377</v>
      </c>
      <c r="L119" s="1" t="s">
        <v>314</v>
      </c>
      <c r="M119" s="1" t="s">
        <v>315</v>
      </c>
      <c r="N119" s="1" t="s">
        <v>119</v>
      </c>
      <c r="O119" s="59" t="s">
        <v>414</v>
      </c>
      <c r="P119" s="60" t="str">
        <f>MID(All_PCC_a[[#This Row],[Part Number]],7,3)</f>
        <v>330</v>
      </c>
      <c r="Q119" s="61">
        <v>33</v>
      </c>
      <c r="R119" s="71" t="str">
        <f>IF(All_PCC_a[[#This Row],[Lo (uH)]]&lt;1,"&lt;1",IF(All_PCC_a[[#This Row],[Lo (uH)]]&lt;10,"&lt;10",IF(All_PCC_a[[#This Row],[Lo (uH)]]&lt;100,"&lt;100",IF(All_PCC_a[[#This Row],[Lo (uH)]]&lt;2000,"&lt;2000",""))))</f>
        <v>&lt;100</v>
      </c>
      <c r="S119" s="61" t="str">
        <f>IFERROR(VLOOKUP(All_PCC_a[[#This Row],[Lo (uH)]],[1]Utility!$D$5:$E$43,2,1),"-")</f>
        <v>≤  40</v>
      </c>
      <c r="T119" s="62">
        <v>0.2</v>
      </c>
      <c r="U119" s="70">
        <v>115</v>
      </c>
      <c r="V119" s="70">
        <v>126.5</v>
      </c>
      <c r="W119" s="61">
        <v>10</v>
      </c>
      <c r="X119" s="71">
        <v>3.4</v>
      </c>
      <c r="Y119" s="61">
        <v>2.5</v>
      </c>
      <c r="Z119" s="64">
        <v>4.2</v>
      </c>
      <c r="AA119" s="61">
        <v>3.1</v>
      </c>
      <c r="AB119" s="1">
        <v>7.4</v>
      </c>
      <c r="AC119" s="1">
        <v>7</v>
      </c>
      <c r="AD119" s="61">
        <v>4.8</v>
      </c>
      <c r="AE119" s="1">
        <f>ROUND(All_PCC_a[[#This Row],[L (mm)]]*All_PCC_a[[#This Row],[W (mm)]],1)</f>
        <v>51.8</v>
      </c>
      <c r="AF119" s="61" t="str">
        <f>All_PCC_a[[#This Row],[L (mm)]]&amp;"  x  "&amp;All_PCC_a[[#This Row],[W (mm)]]</f>
        <v>7,4  x  7</v>
      </c>
      <c r="AG119" s="74" t="s">
        <v>282</v>
      </c>
      <c r="AH119" s="61" t="str">
        <f>IF(All_PCC_a[[#This Row],[Max Height (mm)]]&lt;=9,"≤ "&amp;ROUNDUP(AD119,0),"≤"&amp;ROUNDUP(AD119,0))</f>
        <v>≤ 5</v>
      </c>
      <c r="AI119" s="1">
        <v>-40</v>
      </c>
      <c r="AJ119" s="1">
        <v>150</v>
      </c>
      <c r="AK119" s="1" t="str">
        <f>All_PCC_a[[#This Row],[Min Temp (deg.C)]]&amp;" to +"&amp;All_PCC_a[[#This Row],[Max Temp (deg.C)]]</f>
        <v>-40 to +150</v>
      </c>
      <c r="AL119" s="1"/>
      <c r="AM119" s="1"/>
      <c r="AN119" s="1"/>
      <c r="AO119" s="61" t="s">
        <v>122</v>
      </c>
      <c r="AP119" s="71" t="str">
        <f t="shared" si="15"/>
        <v>-</v>
      </c>
      <c r="AQ119" s="61" t="s">
        <v>122</v>
      </c>
      <c r="AR119" s="61" t="s">
        <v>122</v>
      </c>
      <c r="AS119" s="1" t="s">
        <v>415</v>
      </c>
      <c r="AT119" s="1" t="s">
        <v>278</v>
      </c>
      <c r="AU119" s="1" t="e" vm="1">
        <f ca="1">_xlfn.IMAGE(All_PCC_a[[#This Row],[Image URL]])</f>
        <v>#NAME?</v>
      </c>
      <c r="AV119" s="1"/>
      <c r="AW119" s="1"/>
      <c r="BC119" s="1">
        <f>IF(Z119&lt;('[1]DCDC Ref'!$J$24/'[1]DCDC Ref'!$J$26)*'[1]DCDC Ref'!$J$28/100,0,1)</f>
        <v>1</v>
      </c>
      <c r="BD119" s="66">
        <f>IF(BC119=1000000000,"",('All Data'!Q119-'[1]DCDC Ref'!$J$30)/'[1]DCDC Ref'!$J$30*100)</f>
        <v>5121.9780219780223</v>
      </c>
      <c r="BE119" s="67">
        <f t="shared" si="11"/>
        <v>5121.9780219780223</v>
      </c>
      <c r="BF119" s="67"/>
      <c r="BG119" s="66"/>
      <c r="BH119" s="68">
        <f t="shared" si="8"/>
        <v>0</v>
      </c>
      <c r="BI119" s="67"/>
      <c r="BJ119" s="1">
        <f>IF(BC119=0,"",('All Data'!Z119-'[1]DCDC Ref'!$J$28*('[1]DCDC Ref'!$J$29/100))/'[1]DCDC Ref'!$J$28*('[1]DCDC Ref'!$J$29/100)*100)</f>
        <v>-62.344827586206897</v>
      </c>
      <c r="BK119" s="68">
        <f t="shared" si="9"/>
        <v>10000</v>
      </c>
      <c r="BL119" s="68"/>
      <c r="BM119" s="68"/>
      <c r="BN119" s="68"/>
      <c r="BO119" s="68"/>
      <c r="BP119" s="1"/>
      <c r="BQ119" s="5">
        <f t="shared" si="12"/>
        <v>25659890.109890111</v>
      </c>
      <c r="BR119" s="5">
        <f>IF(BQ119="","",RANK(BQ119,BQ$11:BQ$9930,1)+COUNTIF(BQ$11:BQ119,BQ119)-1)</f>
        <v>133</v>
      </c>
      <c r="BS119" s="69">
        <f t="shared" si="10"/>
        <v>133</v>
      </c>
      <c r="BT119" s="1" t="str">
        <f>IFERROR(INDEX($O$11:$O$1013,MATCH(ROWS($BS$11:BS119),$BS$11:$BS$1005,0)),"")</f>
        <v>ETQP3M150KVN</v>
      </c>
      <c r="BU119" s="69" t="str">
        <f t="shared" si="13"/>
        <v>ETQP3M150KVN</v>
      </c>
      <c r="BV119" s="1"/>
      <c r="BW119" s="1"/>
    </row>
    <row r="120" spans="1:75" s="75" customFormat="1" ht="15">
      <c r="A120" s="1">
        <v>115</v>
      </c>
      <c r="B120" s="28" t="s">
        <v>109</v>
      </c>
      <c r="C120" s="1" t="s">
        <v>416</v>
      </c>
      <c r="D120" s="1"/>
      <c r="E120" s="78"/>
      <c r="F120" s="109" t="s">
        <v>111</v>
      </c>
      <c r="G120" s="2" t="s">
        <v>112</v>
      </c>
      <c r="H120" s="1" t="s">
        <v>113</v>
      </c>
      <c r="I120" s="2" t="s">
        <v>417</v>
      </c>
      <c r="J120" s="1" t="s">
        <v>115</v>
      </c>
      <c r="K120" s="1" t="s">
        <v>418</v>
      </c>
      <c r="L120" s="1" t="s">
        <v>419</v>
      </c>
      <c r="M120" s="1" t="s">
        <v>420</v>
      </c>
      <c r="N120" s="1" t="s">
        <v>119</v>
      </c>
      <c r="O120" s="59" t="s">
        <v>421</v>
      </c>
      <c r="P120" s="60" t="str">
        <f>MID(All_PCC_a[[#This Row],[Part Number]],7,3)</f>
        <v>240</v>
      </c>
      <c r="Q120" s="61">
        <v>36</v>
      </c>
      <c r="R120" s="71" t="str">
        <f>IF(All_PCC_a[[#This Row],[Lo (uH)]]&lt;1,"&lt;1",IF(All_PCC_a[[#This Row],[Lo (uH)]]&lt;10,"&lt;10",IF(All_PCC_a[[#This Row],[Lo (uH)]]&lt;100,"&lt;100",IF(All_PCC_a[[#This Row],[Lo (uH)]]&lt;2000,"&lt;2000",""))))</f>
        <v>&lt;100</v>
      </c>
      <c r="S120" s="61" t="str">
        <f>IFERROR(VLOOKUP(All_PCC_a[[#This Row],[Lo (uH)]],[1]Utility!$D$5:$E$43,2,1),"-")</f>
        <v>≤  40</v>
      </c>
      <c r="T120" s="62">
        <v>0.3</v>
      </c>
      <c r="U120" s="70">
        <v>25.8</v>
      </c>
      <c r="V120" s="70" t="s">
        <v>144</v>
      </c>
      <c r="W120" s="61">
        <v>10</v>
      </c>
      <c r="X120" s="110"/>
      <c r="Y120" s="61">
        <v>6.9</v>
      </c>
      <c r="Z120" s="110"/>
      <c r="AA120" s="61" t="s">
        <v>144</v>
      </c>
      <c r="AB120" s="1">
        <v>14</v>
      </c>
      <c r="AC120" s="1">
        <v>14</v>
      </c>
      <c r="AD120" s="61">
        <v>13.1</v>
      </c>
      <c r="AE120" s="1">
        <f>ROUND(All_PCC_a[[#This Row],[L (mm)]]*All_PCC_a[[#This Row],[W (mm)]],1)</f>
        <v>196</v>
      </c>
      <c r="AF120" s="61" t="str">
        <f>All_PCC_a[[#This Row],[L (mm)]]&amp;"  x  "&amp;All_PCC_a[[#This Row],[W (mm)]]</f>
        <v>14  x  14</v>
      </c>
      <c r="AG120" s="65" t="s">
        <v>422</v>
      </c>
      <c r="AH120" s="61" t="str">
        <f>IF(All_PCC_a[[#This Row],[Max Height (mm)]]&lt;=9,"≤ "&amp;ROUNDUP(AD120,0),"≤"&amp;ROUNDUP(AD120,0))</f>
        <v>≤14</v>
      </c>
      <c r="AI120" s="1">
        <v>-40</v>
      </c>
      <c r="AJ120" s="1">
        <v>150</v>
      </c>
      <c r="AK120" s="1" t="str">
        <f>All_PCC_a[[#This Row],[Min Temp (deg.C)]]&amp;" to +"&amp;All_PCC_a[[#This Row],[Max Temp (deg.C)]]</f>
        <v>-40 to +150</v>
      </c>
      <c r="AL120" s="1"/>
      <c r="AM120" s="1"/>
      <c r="AN120" s="1"/>
      <c r="AO120" s="61" t="s">
        <v>144</v>
      </c>
      <c r="AP120" s="71" t="str">
        <f t="shared" si="15"/>
        <v>-</v>
      </c>
      <c r="AQ120" s="61" t="s">
        <v>144</v>
      </c>
      <c r="AR120" s="61" t="s">
        <v>144</v>
      </c>
      <c r="AS120" s="1" t="s">
        <v>423</v>
      </c>
      <c r="AT120" s="1" t="s">
        <v>424</v>
      </c>
      <c r="AU120" s="1" t="e" vm="1">
        <f ca="1">_xlfn.IMAGE(All_PCC_a[[#This Row],[Image URL]])</f>
        <v>#NAME?</v>
      </c>
      <c r="AV120" s="1"/>
      <c r="AW120" s="1"/>
      <c r="BC120" s="1">
        <f>IF(Z120&lt;('[1]DCDC Ref'!$J$24/'[1]DCDC Ref'!$J$26)*'[1]DCDC Ref'!$J$28/100,0,1)</f>
        <v>0</v>
      </c>
      <c r="BD120" s="66">
        <f>IF(BC120=1000000000,"",('All Data'!Q120-'[1]DCDC Ref'!$J$30)/'[1]DCDC Ref'!$J$30*100)</f>
        <v>5596.7032967032974</v>
      </c>
      <c r="BE120" s="67">
        <f t="shared" si="11"/>
        <v>5596.7032967032974</v>
      </c>
      <c r="BF120" s="67"/>
      <c r="BG120" s="66"/>
      <c r="BH120" s="68">
        <f t="shared" si="8"/>
        <v>0</v>
      </c>
      <c r="BI120" s="67"/>
      <c r="BJ120" s="1" t="str">
        <f>IF(BC120=0,"",('All Data'!Z120-'[1]DCDC Ref'!$J$28*('[1]DCDC Ref'!$J$29/100))/'[1]DCDC Ref'!$J$28*('[1]DCDC Ref'!$J$29/100)*100)</f>
        <v/>
      </c>
      <c r="BK120" s="68" t="str">
        <f t="shared" si="9"/>
        <v/>
      </c>
      <c r="BL120" s="68"/>
      <c r="BM120" s="68"/>
      <c r="BN120" s="68"/>
      <c r="BO120" s="68"/>
      <c r="BP120" s="1"/>
      <c r="BQ120" s="5" t="str">
        <f t="shared" si="12"/>
        <v/>
      </c>
      <c r="BR120" s="5" t="str">
        <f>IF(BQ120="","",RANK(BQ120,BQ$11:BQ$9930,1)+COUNTIF(BQ$11:BQ120,BQ120)-1)</f>
        <v/>
      </c>
      <c r="BS120" s="69" t="e">
        <f t="shared" si="10"/>
        <v>#VALUE!</v>
      </c>
      <c r="BT120" s="1" t="str">
        <f>IFERROR(INDEX($O$11:$O$1013,MATCH(ROWS($BS$11:BS120),$BS$11:$BS$1005,0)),"")</f>
        <v>ETQP4M150KVK</v>
      </c>
      <c r="BU120" s="69" t="str">
        <f t="shared" si="13"/>
        <v>ETQP4M150KVK</v>
      </c>
      <c r="BV120" s="1"/>
      <c r="BW120" s="1"/>
    </row>
    <row r="121" spans="1:75" s="75" customFormat="1">
      <c r="A121" s="1">
        <v>8</v>
      </c>
      <c r="B121" s="28" t="s">
        <v>109</v>
      </c>
      <c r="C121" s="1"/>
      <c r="D121" s="1" t="s">
        <v>110</v>
      </c>
      <c r="E121" s="58"/>
      <c r="F121" s="1" t="s">
        <v>111</v>
      </c>
      <c r="G121" s="2" t="s">
        <v>112</v>
      </c>
      <c r="H121" s="1" t="s">
        <v>113</v>
      </c>
      <c r="I121" s="2" t="s">
        <v>114</v>
      </c>
      <c r="J121" s="1" t="s">
        <v>115</v>
      </c>
      <c r="K121" s="1" t="s">
        <v>116</v>
      </c>
      <c r="L121" s="1" t="s">
        <v>236</v>
      </c>
      <c r="M121" s="1" t="s">
        <v>254</v>
      </c>
      <c r="N121" s="1" t="s">
        <v>154</v>
      </c>
      <c r="O121" s="59" t="s">
        <v>425</v>
      </c>
      <c r="P121" s="60" t="str">
        <f>MID(All_PCC_a[[#This Row],[Part Number]],7,3)</f>
        <v>470</v>
      </c>
      <c r="Q121" s="85">
        <v>47</v>
      </c>
      <c r="R121" s="61" t="str">
        <f>IF(All_PCC_a[[#This Row],[Lo (uH)]]&lt;1,"&lt;1",IF(All_PCC_a[[#This Row],[Lo (uH)]]&lt;10,"&lt;10",IF(All_PCC_a[[#This Row],[Lo (uH)]]&lt;100,"&lt;100",IF(All_PCC_a[[#This Row],[Lo (uH)]]&lt;2000,"&lt;2000",""))))</f>
        <v>&lt;100</v>
      </c>
      <c r="S121" s="61" t="str">
        <f>IFERROR(VLOOKUP(All_PCC_a[[#This Row],[Lo (uH)]],[1]Utility!$D$5:$E$43,2,1),"-")</f>
        <v>≤  50</v>
      </c>
      <c r="T121" s="62">
        <v>0.2</v>
      </c>
      <c r="U121" s="70">
        <v>210</v>
      </c>
      <c r="V121" s="70">
        <v>231.00000000000003</v>
      </c>
      <c r="W121" s="61">
        <v>10</v>
      </c>
      <c r="X121" s="61">
        <v>2.2000000000000002</v>
      </c>
      <c r="Y121" s="61">
        <v>1.8</v>
      </c>
      <c r="Z121" s="64">
        <v>3.8</v>
      </c>
      <c r="AA121" s="61">
        <v>2.6</v>
      </c>
      <c r="AB121" s="1">
        <v>6.5</v>
      </c>
      <c r="AC121" s="1">
        <v>6</v>
      </c>
      <c r="AD121" s="61">
        <v>4.5</v>
      </c>
      <c r="AE121" s="1">
        <f>ROUND(All_PCC_a[[#This Row],[L (mm)]]*All_PCC_a[[#This Row],[W (mm)]],1)</f>
        <v>39</v>
      </c>
      <c r="AF121" s="61" t="str">
        <f>All_PCC_a[[#This Row],[L (mm)]]&amp;"  x  "&amp;All_PCC_a[[#This Row],[W (mm)]]</f>
        <v>6,5  x  6</v>
      </c>
      <c r="AG121" s="76" t="s">
        <v>156</v>
      </c>
      <c r="AH121" s="61" t="str">
        <f>IF(All_PCC_a[[#This Row],[Max Height (mm)]]&lt;=9,"≤ "&amp;ROUNDUP(AD121,0),"≤"&amp;ROUNDUP(AD121,0))</f>
        <v>≤ 5</v>
      </c>
      <c r="AI121" s="11">
        <v>-40</v>
      </c>
      <c r="AJ121" s="11">
        <v>150</v>
      </c>
      <c r="AK121" s="1" t="str">
        <f>All_PCC_a[[#This Row],[Min Temp (deg.C)]]&amp;" to +"&amp;All_PCC_a[[#This Row],[Max Temp (deg.C)]]</f>
        <v>-40 to +150</v>
      </c>
      <c r="AL121" s="1"/>
      <c r="AM121" s="1"/>
      <c r="AN121" s="1"/>
      <c r="AO121" s="61" t="s">
        <v>144</v>
      </c>
      <c r="AP121" s="61" t="str">
        <f t="shared" si="15"/>
        <v>-</v>
      </c>
      <c r="AQ121" s="62" t="s">
        <v>122</v>
      </c>
      <c r="AR121" s="61" t="s">
        <v>122</v>
      </c>
      <c r="AS121" s="1" t="s">
        <v>426</v>
      </c>
      <c r="AT121" s="1" t="s">
        <v>124</v>
      </c>
      <c r="AU121" s="1" t="e" vm="1">
        <f ca="1">_xlfn.IMAGE(All_PCC_a[[#This Row],[Image URL]])</f>
        <v>#NAME?</v>
      </c>
      <c r="AV121" s="1"/>
      <c r="AW121" s="1"/>
      <c r="BC121" s="1">
        <f>IF(Z121&lt;('[1]DCDC Ref'!$J$24/'[1]DCDC Ref'!$J$26)*'[1]DCDC Ref'!$J$28/100,0,1)</f>
        <v>1</v>
      </c>
      <c r="BD121" s="66">
        <f>IF(BC121=1000000000,"",('All Data'!Q121-'[1]DCDC Ref'!$J$30)/'[1]DCDC Ref'!$J$30*100)</f>
        <v>7337.3626373626375</v>
      </c>
      <c r="BE121" s="67">
        <f t="shared" si="11"/>
        <v>7337.3626373626375</v>
      </c>
      <c r="BF121" s="67"/>
      <c r="BG121" s="66"/>
      <c r="BH121" s="68">
        <f t="shared" si="8"/>
        <v>0</v>
      </c>
      <c r="BI121" s="67"/>
      <c r="BJ121" s="1">
        <f>IF(BC121=0,"",('All Data'!Z121-'[1]DCDC Ref'!$J$28*('[1]DCDC Ref'!$J$29/100))/'[1]DCDC Ref'!$J$28*('[1]DCDC Ref'!$J$29/100)*100)</f>
        <v>-65.931034482758619</v>
      </c>
      <c r="BK121" s="68">
        <f t="shared" si="9"/>
        <v>10000</v>
      </c>
      <c r="BL121" s="68"/>
      <c r="BM121" s="68"/>
      <c r="BN121" s="68"/>
      <c r="BO121" s="68"/>
      <c r="BP121" s="1"/>
      <c r="BQ121" s="5">
        <f t="shared" si="12"/>
        <v>36736813.186813191</v>
      </c>
      <c r="BR121" s="5">
        <f>IF(BQ121="","",RANK(BQ121,BQ$11:BQ$9930,1)+COUNTIF(BQ$11:BQ121,BQ121)-1)</f>
        <v>135</v>
      </c>
      <c r="BS121" s="69">
        <f t="shared" si="10"/>
        <v>135</v>
      </c>
      <c r="BT121" s="1" t="str">
        <f>IFERROR(INDEX($O$11:$O$1013,MATCH(ROWS($BS$11:BS121),$BS$11:$BS$1005,0)),"")</f>
        <v>ETQP4M150KVC</v>
      </c>
      <c r="BU121" s="69" t="str">
        <f t="shared" si="13"/>
        <v>ETQP4M150KVC</v>
      </c>
      <c r="BV121" s="1"/>
      <c r="BW121" s="1"/>
    </row>
    <row r="122" spans="1:75" s="75" customFormat="1" ht="15">
      <c r="A122" s="1">
        <v>21</v>
      </c>
      <c r="B122" s="28" t="s">
        <v>109</v>
      </c>
      <c r="C122" s="1"/>
      <c r="D122" s="1" t="s">
        <v>110</v>
      </c>
      <c r="E122" s="58"/>
      <c r="F122" s="1" t="s">
        <v>111</v>
      </c>
      <c r="G122" s="2" t="s">
        <v>112</v>
      </c>
      <c r="H122" s="1" t="s">
        <v>113</v>
      </c>
      <c r="I122" s="2" t="s">
        <v>114</v>
      </c>
      <c r="J122" s="1" t="s">
        <v>115</v>
      </c>
      <c r="K122" s="1" t="s">
        <v>116</v>
      </c>
      <c r="L122" s="1" t="s">
        <v>195</v>
      </c>
      <c r="M122" s="1" t="s">
        <v>196</v>
      </c>
      <c r="N122" s="1" t="s">
        <v>119</v>
      </c>
      <c r="O122" s="59" t="s">
        <v>427</v>
      </c>
      <c r="P122" s="60" t="str">
        <f>MID(All_PCC_a[[#This Row],[Part Number]],7,3)</f>
        <v>470</v>
      </c>
      <c r="Q122" s="61">
        <v>47</v>
      </c>
      <c r="R122" s="61" t="str">
        <f>IF(All_PCC_a[[#This Row],[Lo (uH)]]&lt;1,"&lt;1",IF(All_PCC_a[[#This Row],[Lo (uH)]]&lt;10,"&lt;10",IF(All_PCC_a[[#This Row],[Lo (uH)]]&lt;100,"&lt;100",IF(All_PCC_a[[#This Row],[Lo (uH)]]&lt;2000,"&lt;2000",""))))</f>
        <v>&lt;100</v>
      </c>
      <c r="S122" s="61" t="str">
        <f>IFERROR(VLOOKUP(All_PCC_a[[#This Row],[Lo (uH)]],[1]Utility!$D$5:$E$43,2,1),"-")</f>
        <v>≤  50</v>
      </c>
      <c r="T122" s="62">
        <v>0.2</v>
      </c>
      <c r="U122" s="63">
        <v>99</v>
      </c>
      <c r="V122" s="63">
        <v>108.9</v>
      </c>
      <c r="W122" s="61">
        <v>10</v>
      </c>
      <c r="X122" s="61">
        <v>4.2</v>
      </c>
      <c r="Y122" s="61">
        <v>3.5</v>
      </c>
      <c r="Z122" s="64">
        <v>6.8</v>
      </c>
      <c r="AA122" s="61">
        <v>4.87</v>
      </c>
      <c r="AB122" s="1">
        <v>10.7</v>
      </c>
      <c r="AC122" s="1">
        <v>10</v>
      </c>
      <c r="AD122" s="61">
        <v>5.4</v>
      </c>
      <c r="AE122" s="1">
        <f>ROUND(All_PCC_a[[#This Row],[L (mm)]]*All_PCC_a[[#This Row],[W (mm)]],1)</f>
        <v>107</v>
      </c>
      <c r="AF122" s="61" t="str">
        <f>All_PCC_a[[#This Row],[L (mm)]]&amp;"  x  "&amp;All_PCC_a[[#This Row],[W (mm)]]</f>
        <v>10,7  x  10</v>
      </c>
      <c r="AG122" s="65" t="s">
        <v>121</v>
      </c>
      <c r="AH122" s="61" t="str">
        <f>IF(All_PCC_a[[#This Row],[Max Height (mm)]]&lt;=9,"≤ "&amp;ROUNDUP(AD122,0),"≤"&amp;ROUNDUP(AD122,0))</f>
        <v>≤ 6</v>
      </c>
      <c r="AI122" s="1">
        <v>-40</v>
      </c>
      <c r="AJ122" s="1">
        <v>150</v>
      </c>
      <c r="AK122" s="1" t="str">
        <f>All_PCC_a[[#This Row],[Min Temp (deg.C)]]&amp;" to +"&amp;All_PCC_a[[#This Row],[Max Temp (deg.C)]]</f>
        <v>-40 to +150</v>
      </c>
      <c r="AL122" s="1"/>
      <c r="AM122" s="1"/>
      <c r="AN122" s="1"/>
      <c r="AO122" s="61" t="s">
        <v>122</v>
      </c>
      <c r="AP122" s="61" t="str">
        <f t="shared" si="15"/>
        <v>-</v>
      </c>
      <c r="AQ122" s="61" t="s">
        <v>122</v>
      </c>
      <c r="AR122" s="61" t="s">
        <v>122</v>
      </c>
      <c r="AS122" s="1" t="s">
        <v>428</v>
      </c>
      <c r="AT122" s="1" t="s">
        <v>124</v>
      </c>
      <c r="AU122" s="1" t="e" vm="1">
        <f ca="1">_xlfn.IMAGE(All_PCC_a[[#This Row],[Image URL]])</f>
        <v>#NAME?</v>
      </c>
      <c r="AV122" s="1"/>
      <c r="AW122" s="1"/>
      <c r="BC122" s="1">
        <f>IF(Z122&lt;('[1]DCDC Ref'!$J$24/'[1]DCDC Ref'!$J$26)*'[1]DCDC Ref'!$J$28/100,0,1)</f>
        <v>1</v>
      </c>
      <c r="BD122" s="66">
        <f>IF(BC122=1000000000,"",('All Data'!Q122-'[1]DCDC Ref'!$J$30)/'[1]DCDC Ref'!$J$30*100)</f>
        <v>7337.3626373626375</v>
      </c>
      <c r="BE122" s="67">
        <f t="shared" si="11"/>
        <v>7337.3626373626375</v>
      </c>
      <c r="BF122" s="67"/>
      <c r="BG122" s="66"/>
      <c r="BH122" s="68">
        <f t="shared" si="8"/>
        <v>0</v>
      </c>
      <c r="BI122" s="67"/>
      <c r="BJ122" s="1">
        <f>IF(BC122=0,"",('All Data'!Z122-'[1]DCDC Ref'!$J$28*('[1]DCDC Ref'!$J$29/100))/'[1]DCDC Ref'!$J$28*('[1]DCDC Ref'!$J$29/100)*100)</f>
        <v>-39.034482758620697</v>
      </c>
      <c r="BK122" s="68">
        <f t="shared" si="9"/>
        <v>10000</v>
      </c>
      <c r="BL122" s="68"/>
      <c r="BM122" s="68"/>
      <c r="BN122" s="68"/>
      <c r="BO122" s="68"/>
      <c r="BP122" s="1"/>
      <c r="BQ122" s="5">
        <f t="shared" si="12"/>
        <v>36736813.186813191</v>
      </c>
      <c r="BR122" s="5">
        <f>IF(BQ122="","",RANK(BQ122,BQ$11:BQ$9930,1)+COUNTIF(BQ$11:BQ122,BQ122)-1)</f>
        <v>136</v>
      </c>
      <c r="BS122" s="69">
        <f t="shared" si="10"/>
        <v>136</v>
      </c>
      <c r="BT122" s="1" t="str">
        <f>IFERROR(INDEX($O$11:$O$1013,MATCH(ROWS($BS$11:BS122),$BS$11:$BS$1005,0)),"")</f>
        <v>ETQP4M150KFN</v>
      </c>
      <c r="BU122" s="69" t="str">
        <f t="shared" si="13"/>
        <v>ETQP4M150KFN</v>
      </c>
      <c r="BV122" s="1"/>
      <c r="BW122" s="1"/>
    </row>
    <row r="123" spans="1:75" s="75" customFormat="1" ht="15">
      <c r="A123" s="1">
        <v>82</v>
      </c>
      <c r="B123" s="28" t="s">
        <v>109</v>
      </c>
      <c r="C123" s="1"/>
      <c r="D123" s="1" t="s">
        <v>110</v>
      </c>
      <c r="E123" s="58"/>
      <c r="F123" s="1" t="s">
        <v>111</v>
      </c>
      <c r="G123" s="2" t="s">
        <v>112</v>
      </c>
      <c r="H123" s="1" t="s">
        <v>113</v>
      </c>
      <c r="I123" s="2" t="s">
        <v>114</v>
      </c>
      <c r="J123" s="1" t="s">
        <v>115</v>
      </c>
      <c r="K123" s="1" t="s">
        <v>134</v>
      </c>
      <c r="L123" s="1" t="s">
        <v>191</v>
      </c>
      <c r="M123" s="1" t="s">
        <v>192</v>
      </c>
      <c r="N123" s="1" t="s">
        <v>119</v>
      </c>
      <c r="O123" s="59" t="s">
        <v>429</v>
      </c>
      <c r="P123" s="60" t="str">
        <f>MID(All_PCC_a[[#This Row],[Part Number]],7,3)</f>
        <v>470</v>
      </c>
      <c r="Q123" s="61">
        <v>47</v>
      </c>
      <c r="R123" s="61" t="str">
        <f>IF(All_PCC_a[[#This Row],[Lo (uH)]]&lt;1,"&lt;1",IF(All_PCC_a[[#This Row],[Lo (uH)]]&lt;10,"&lt;10",IF(All_PCC_a[[#This Row],[Lo (uH)]]&lt;100,"&lt;100",IF(All_PCC_a[[#This Row],[Lo (uH)]]&lt;2000,"&lt;2000",""))))</f>
        <v>&lt;100</v>
      </c>
      <c r="S123" s="61" t="str">
        <f>IFERROR(VLOOKUP(All_PCC_a[[#This Row],[Lo (uH)]],[1]Utility!$D$5:$E$43,2,1),"-")</f>
        <v>≤  50</v>
      </c>
      <c r="T123" s="62">
        <v>0.2</v>
      </c>
      <c r="U123" s="63">
        <v>132</v>
      </c>
      <c r="V123" s="63">
        <v>145.20000000000002</v>
      </c>
      <c r="W123" s="61">
        <v>10</v>
      </c>
      <c r="X123" s="61">
        <v>3.4</v>
      </c>
      <c r="Y123" s="86">
        <v>2.8</v>
      </c>
      <c r="Z123" s="87">
        <v>4.7</v>
      </c>
      <c r="AA123" s="77">
        <v>3.34</v>
      </c>
      <c r="AB123" s="1">
        <v>10.7</v>
      </c>
      <c r="AC123" s="1">
        <v>10</v>
      </c>
      <c r="AD123" s="61">
        <v>4</v>
      </c>
      <c r="AE123" s="1">
        <f>ROUND(All_PCC_a[[#This Row],[L (mm)]]*All_PCC_a[[#This Row],[W (mm)]],1)</f>
        <v>107</v>
      </c>
      <c r="AF123" s="61" t="str">
        <f>All_PCC_a[[#This Row],[L (mm)]]&amp;"  x  "&amp;All_PCC_a[[#This Row],[W (mm)]]</f>
        <v>10,7  x  10</v>
      </c>
      <c r="AG123" s="65" t="s">
        <v>121</v>
      </c>
      <c r="AH123" s="61" t="str">
        <f>IF(All_PCC_a[[#This Row],[Max Height (mm)]]&lt;=9,"≤ "&amp;ROUNDUP(AD123,0),"≤"&amp;ROUNDUP(AD123,0))</f>
        <v>≤ 4</v>
      </c>
      <c r="AI123" s="1">
        <v>-55</v>
      </c>
      <c r="AJ123" s="1">
        <v>155</v>
      </c>
      <c r="AK123" s="1" t="str">
        <f>All_PCC_a[[#This Row],[Min Temp (deg.C)]]&amp;" to +"&amp;All_PCC_a[[#This Row],[Max Temp (deg.C)]]</f>
        <v>-55 to +155</v>
      </c>
      <c r="AL123" s="1"/>
      <c r="AM123" s="1"/>
      <c r="AN123" s="1"/>
      <c r="AO123" s="61" t="s">
        <v>122</v>
      </c>
      <c r="AP123" s="61" t="str">
        <f t="shared" si="15"/>
        <v>-</v>
      </c>
      <c r="AQ123" s="61" t="s">
        <v>122</v>
      </c>
      <c r="AR123" s="61" t="s">
        <v>122</v>
      </c>
      <c r="AS123" s="1" t="s">
        <v>430</v>
      </c>
      <c r="AT123" s="1" t="s">
        <v>140</v>
      </c>
      <c r="AU123" s="1" t="e" vm="1">
        <f ca="1">_xlfn.IMAGE(All_PCC_a[[#This Row],[Image URL]])</f>
        <v>#NAME?</v>
      </c>
      <c r="AV123" s="1"/>
      <c r="AW123" s="1"/>
      <c r="BC123" s="1">
        <f>IF(Z123&lt;('[1]DCDC Ref'!$J$24/'[1]DCDC Ref'!$J$26)*'[1]DCDC Ref'!$J$28/100,0,1)</f>
        <v>1</v>
      </c>
      <c r="BD123" s="66">
        <f>IF(BC123=1000000000,"",('All Data'!Q123-'[1]DCDC Ref'!$J$30)/'[1]DCDC Ref'!$J$30*100)</f>
        <v>7337.3626373626375</v>
      </c>
      <c r="BE123" s="67">
        <f t="shared" si="11"/>
        <v>7337.3626373626375</v>
      </c>
      <c r="BF123" s="67"/>
      <c r="BG123" s="66"/>
      <c r="BH123" s="68">
        <f t="shared" si="8"/>
        <v>0</v>
      </c>
      <c r="BI123" s="67"/>
      <c r="BJ123" s="1">
        <f>IF(BC123=0,"",('All Data'!Z123-'[1]DCDC Ref'!$J$28*('[1]DCDC Ref'!$J$29/100))/'[1]DCDC Ref'!$J$28*('[1]DCDC Ref'!$J$29/100)*100)</f>
        <v>-57.862068965517246</v>
      </c>
      <c r="BK123" s="68">
        <f t="shared" si="9"/>
        <v>10000</v>
      </c>
      <c r="BL123" s="68"/>
      <c r="BM123" s="68"/>
      <c r="BN123" s="68"/>
      <c r="BO123" s="68"/>
      <c r="BP123" s="1"/>
      <c r="BQ123" s="5">
        <f t="shared" si="12"/>
        <v>36736813.186813191</v>
      </c>
      <c r="BR123" s="5">
        <f>IF(BQ123="","",RANK(BQ123,BQ$11:BQ$9930,1)+COUNTIF(BQ$11:BQ123,BQ123)-1)</f>
        <v>137</v>
      </c>
      <c r="BS123" s="69">
        <f t="shared" si="10"/>
        <v>137</v>
      </c>
      <c r="BT123" s="1" t="str">
        <f>IFERROR(INDEX($O$11:$O$1013,MATCH(ROWS($BS$11:BS123),$BS$11:$BS$1005,0)),"")</f>
        <v>ETQP4M150KFM</v>
      </c>
      <c r="BU123" s="69" t="str">
        <f t="shared" si="13"/>
        <v>ETQP4M150KFM</v>
      </c>
      <c r="BV123" s="1"/>
      <c r="BW123" s="1"/>
    </row>
    <row r="124" spans="1:75" ht="15">
      <c r="A124" s="1">
        <v>104</v>
      </c>
      <c r="B124" s="28" t="s">
        <v>109</v>
      </c>
      <c r="C124" s="84" t="s">
        <v>431</v>
      </c>
      <c r="D124" s="1" t="s">
        <v>110</v>
      </c>
      <c r="E124" s="58"/>
      <c r="F124" s="84" t="s">
        <v>111</v>
      </c>
      <c r="G124" s="2" t="s">
        <v>112</v>
      </c>
      <c r="H124" s="1" t="s">
        <v>113</v>
      </c>
      <c r="I124" s="2" t="s">
        <v>114</v>
      </c>
      <c r="J124" s="1" t="s">
        <v>115</v>
      </c>
      <c r="K124" s="1" t="s">
        <v>273</v>
      </c>
      <c r="L124" s="1" t="s">
        <v>314</v>
      </c>
      <c r="M124" s="1" t="s">
        <v>315</v>
      </c>
      <c r="N124" s="1" t="s">
        <v>119</v>
      </c>
      <c r="O124" s="59" t="s">
        <v>432</v>
      </c>
      <c r="P124" s="60" t="str">
        <f>MID(All_PCC_a[[#This Row],[Part Number]],7,3)</f>
        <v>470</v>
      </c>
      <c r="Q124" s="61">
        <v>47</v>
      </c>
      <c r="R124" s="61" t="str">
        <f>IF(All_PCC_a[[#This Row],[Lo (uH)]]&lt;1,"&lt;1",IF(All_PCC_a[[#This Row],[Lo (uH)]]&lt;10,"&lt;10",IF(All_PCC_a[[#This Row],[Lo (uH)]]&lt;100,"&lt;100",IF(All_PCC_a[[#This Row],[Lo (uH)]]&lt;2000,"&lt;2000",""))))</f>
        <v>&lt;100</v>
      </c>
      <c r="S124" s="61" t="str">
        <f>IFERROR(VLOOKUP(All_PCC_a[[#This Row],[Lo (uH)]],[1]Utility!$D$5:$E$43,2,1),"-")</f>
        <v>≤  50</v>
      </c>
      <c r="T124" s="62">
        <v>0.2</v>
      </c>
      <c r="U124" s="63">
        <v>148.6</v>
      </c>
      <c r="V124" s="63">
        <v>163.46</v>
      </c>
      <c r="W124" s="61">
        <v>10</v>
      </c>
      <c r="X124" s="61">
        <v>2.9</v>
      </c>
      <c r="Y124" s="86">
        <v>2.2000000000000002</v>
      </c>
      <c r="Z124" s="87">
        <v>3.7</v>
      </c>
      <c r="AA124" s="61">
        <v>2.7</v>
      </c>
      <c r="AB124" s="1">
        <v>7.4</v>
      </c>
      <c r="AC124" s="1">
        <v>7</v>
      </c>
      <c r="AD124" s="61">
        <v>4.8</v>
      </c>
      <c r="AE124" s="1">
        <f>ROUND(All_PCC_a[[#This Row],[L (mm)]]*All_PCC_a[[#This Row],[W (mm)]],1)</f>
        <v>51.8</v>
      </c>
      <c r="AF124" s="61" t="str">
        <f>All_PCC_a[[#This Row],[L (mm)]]&amp;"  x  "&amp;All_PCC_a[[#This Row],[W (mm)]]</f>
        <v>7,4  x  7</v>
      </c>
      <c r="AG124" s="74" t="s">
        <v>282</v>
      </c>
      <c r="AH124" s="61" t="str">
        <f>IF(All_PCC_a[[#This Row],[Max Height (mm)]]&lt;=9,"≤ "&amp;ROUNDUP(AD124,0),"≤"&amp;ROUNDUP(AD124,0))</f>
        <v>≤ 5</v>
      </c>
      <c r="AI124" s="1">
        <v>-40</v>
      </c>
      <c r="AJ124" s="1">
        <v>150</v>
      </c>
      <c r="AK124" s="1" t="str">
        <f>All_PCC_a[[#This Row],[Min Temp (deg.C)]]&amp;" to +"&amp;All_PCC_a[[#This Row],[Max Temp (deg.C)]]</f>
        <v>-40 to +150</v>
      </c>
      <c r="AL124" s="1"/>
      <c r="AO124" s="61" t="s">
        <v>122</v>
      </c>
      <c r="AP124" s="61" t="str">
        <f t="shared" si="15"/>
        <v>-</v>
      </c>
      <c r="AQ124" s="61" t="s">
        <v>122</v>
      </c>
      <c r="AR124" s="61" t="s">
        <v>122</v>
      </c>
      <c r="AS124" s="1" t="s">
        <v>433</v>
      </c>
      <c r="AT124" s="1" t="s">
        <v>278</v>
      </c>
      <c r="AU124" s="1" t="e" vm="1">
        <f ca="1">_xlfn.IMAGE(All_PCC_a[[#This Row],[Image URL]])</f>
        <v>#NAME?</v>
      </c>
      <c r="AW124" s="1"/>
      <c r="AY124" s="1"/>
      <c r="BC124" s="1">
        <f>IF(Z124&lt;('[1]DCDC Ref'!$J$24/'[1]DCDC Ref'!$J$26)*'[1]DCDC Ref'!$J$28/100,0,1)</f>
        <v>1</v>
      </c>
      <c r="BD124" s="66">
        <f>IF(BC124=1000000000,"",('All Data'!Q124-'[1]DCDC Ref'!$J$30)/'[1]DCDC Ref'!$J$30*100)</f>
        <v>7337.3626373626375</v>
      </c>
      <c r="BE124" s="67">
        <f t="shared" si="11"/>
        <v>7337.3626373626375</v>
      </c>
      <c r="BF124" s="67"/>
      <c r="BG124" s="66"/>
      <c r="BH124" s="68">
        <f t="shared" si="8"/>
        <v>0</v>
      </c>
      <c r="BI124" s="67"/>
      <c r="BJ124" s="1">
        <f>IF(BC124=0,"",('All Data'!Z124-'[1]DCDC Ref'!$J$28*('[1]DCDC Ref'!$J$29/100))/'[1]DCDC Ref'!$J$28*('[1]DCDC Ref'!$J$29/100)*100)</f>
        <v>-66.827586206896555</v>
      </c>
      <c r="BK124" s="68">
        <f t="shared" si="9"/>
        <v>10000</v>
      </c>
      <c r="BL124" s="68"/>
      <c r="BM124" s="68"/>
      <c r="BN124" s="68"/>
      <c r="BO124" s="68"/>
      <c r="BQ124" s="5">
        <f t="shared" si="12"/>
        <v>36736813.186813191</v>
      </c>
      <c r="BR124" s="5">
        <f>IF(BQ124="","",RANK(BQ124,BQ$11:BQ$9930,1)+COUNTIF(BQ$11:BQ124,BQ124)-1)</f>
        <v>138</v>
      </c>
      <c r="BS124" s="69">
        <f t="shared" si="10"/>
        <v>138</v>
      </c>
      <c r="BT124" s="1" t="str">
        <f>IFERROR(INDEX($O$11:$O$1013,MATCH(ROWS($BS$11:BS124),$BS$11:$BS$1005,0)),"")</f>
        <v>ETQP5M220YSC</v>
      </c>
      <c r="BU124" s="69" t="str">
        <f t="shared" si="13"/>
        <v>ETQP5M220YSC</v>
      </c>
    </row>
    <row r="125" spans="1:75" ht="15">
      <c r="A125" s="1">
        <v>28</v>
      </c>
      <c r="B125" s="28" t="s">
        <v>109</v>
      </c>
      <c r="D125" s="1" t="s">
        <v>110</v>
      </c>
      <c r="E125" s="58"/>
      <c r="F125" s="1" t="s">
        <v>111</v>
      </c>
      <c r="G125" s="2" t="s">
        <v>112</v>
      </c>
      <c r="H125" s="1" t="s">
        <v>113</v>
      </c>
      <c r="I125" s="2" t="s">
        <v>114</v>
      </c>
      <c r="J125" s="1" t="s">
        <v>115</v>
      </c>
      <c r="K125" s="1" t="s">
        <v>116</v>
      </c>
      <c r="L125" s="1" t="s">
        <v>246</v>
      </c>
      <c r="M125" s="1" t="s">
        <v>247</v>
      </c>
      <c r="N125" s="1" t="s">
        <v>154</v>
      </c>
      <c r="O125" s="59" t="s">
        <v>434</v>
      </c>
      <c r="P125" s="60" t="str">
        <f>MID(All_PCC_a[[#This Row],[Part Number]],7,3)</f>
        <v>470</v>
      </c>
      <c r="Q125" s="61">
        <v>48</v>
      </c>
      <c r="R125" s="61" t="str">
        <f>IF(All_PCC_a[[#This Row],[Lo (uH)]]&lt;1,"&lt;1",IF(All_PCC_a[[#This Row],[Lo (uH)]]&lt;10,"&lt;10",IF(All_PCC_a[[#This Row],[Lo (uH)]]&lt;100,"&lt;100",IF(All_PCC_a[[#This Row],[Lo (uH)]]&lt;2000,"&lt;2000",""))))</f>
        <v>&lt;100</v>
      </c>
      <c r="S125" s="61" t="str">
        <f>IFERROR(VLOOKUP(All_PCC_a[[#This Row],[Lo (uH)]],[1]Utility!$D$5:$E$43,2,1),"-")</f>
        <v>≤  50</v>
      </c>
      <c r="T125" s="62">
        <v>0.2</v>
      </c>
      <c r="U125" s="63">
        <v>125</v>
      </c>
      <c r="V125" s="63">
        <v>138</v>
      </c>
      <c r="W125" s="61">
        <v>10</v>
      </c>
      <c r="X125" s="61">
        <v>3.4</v>
      </c>
      <c r="Y125" s="61">
        <v>2.9</v>
      </c>
      <c r="Z125" s="64">
        <v>5.4</v>
      </c>
      <c r="AA125" s="61">
        <v>3.96</v>
      </c>
      <c r="AB125" s="1">
        <v>8.5</v>
      </c>
      <c r="AC125" s="1">
        <v>8</v>
      </c>
      <c r="AD125" s="61">
        <v>5.4</v>
      </c>
      <c r="AE125" s="1">
        <f>ROUND(All_PCC_a[[#This Row],[L (mm)]]*All_PCC_a[[#This Row],[W (mm)]],1)</f>
        <v>68</v>
      </c>
      <c r="AF125" s="61" t="str">
        <f>All_PCC_a[[#This Row],[L (mm)]]&amp;"  x  "&amp;All_PCC_a[[#This Row],[W (mm)]]</f>
        <v>8,5  x  8</v>
      </c>
      <c r="AG125" s="76" t="s">
        <v>171</v>
      </c>
      <c r="AH125" s="61" t="str">
        <f>IF(All_PCC_a[[#This Row],[Max Height (mm)]]&lt;=9,"≤ "&amp;ROUNDUP(AD125,0),"≤"&amp;ROUNDUP(AD125,0))</f>
        <v>≤ 6</v>
      </c>
      <c r="AI125" s="11">
        <v>-40</v>
      </c>
      <c r="AJ125" s="11">
        <v>150</v>
      </c>
      <c r="AK125" s="1" t="str">
        <f>All_PCC_a[[#This Row],[Min Temp (deg.C)]]&amp;" to +"&amp;All_PCC_a[[#This Row],[Max Temp (deg.C)]]</f>
        <v>-40 to +150</v>
      </c>
      <c r="AL125" s="1"/>
      <c r="AO125" s="61" t="s">
        <v>144</v>
      </c>
      <c r="AP125" s="61" t="str">
        <f t="shared" si="15"/>
        <v>-</v>
      </c>
      <c r="AQ125" s="62" t="s">
        <v>122</v>
      </c>
      <c r="AR125" s="61" t="s">
        <v>122</v>
      </c>
      <c r="AS125" s="1" t="s">
        <v>435</v>
      </c>
      <c r="AT125" s="1" t="s">
        <v>124</v>
      </c>
      <c r="AU125" s="1" t="e" vm="1">
        <f ca="1">_xlfn.IMAGE(All_PCC_a[[#This Row],[Image URL]])</f>
        <v>#NAME?</v>
      </c>
      <c r="AW125" s="1"/>
      <c r="AY125" s="1"/>
      <c r="BC125" s="1">
        <f>IF(Z125&lt;('[1]DCDC Ref'!$J$24/'[1]DCDC Ref'!$J$26)*'[1]DCDC Ref'!$J$28/100,0,1)</f>
        <v>1</v>
      </c>
      <c r="BD125" s="66">
        <f>IF(BC125=1000000000,"",('All Data'!Q125-'[1]DCDC Ref'!$J$30)/'[1]DCDC Ref'!$J$30*100)</f>
        <v>7495.6043956043959</v>
      </c>
      <c r="BE125" s="67">
        <f t="shared" si="11"/>
        <v>7495.6043956043959</v>
      </c>
      <c r="BF125" s="67"/>
      <c r="BG125" s="66"/>
      <c r="BH125" s="68">
        <f t="shared" si="8"/>
        <v>0</v>
      </c>
      <c r="BI125" s="67"/>
      <c r="BJ125" s="1">
        <f>IF(BC125=0,"",('All Data'!Z125-'[1]DCDC Ref'!$J$28*('[1]DCDC Ref'!$J$29/100))/'[1]DCDC Ref'!$J$28*('[1]DCDC Ref'!$J$29/100)*100)</f>
        <v>-51.586206896551722</v>
      </c>
      <c r="BK125" s="68">
        <f t="shared" si="9"/>
        <v>10000</v>
      </c>
      <c r="BL125" s="68"/>
      <c r="BM125" s="68"/>
      <c r="BN125" s="68"/>
      <c r="BO125" s="68"/>
      <c r="BQ125" s="5">
        <f t="shared" si="12"/>
        <v>37528021.978021979</v>
      </c>
      <c r="BR125" s="5">
        <f>IF(BQ125="","",RANK(BQ125,BQ$11:BQ$9930,1)+COUNTIF(BQ$11:BQ125,BQ125)-1)</f>
        <v>140</v>
      </c>
      <c r="BS125" s="69">
        <f t="shared" si="10"/>
        <v>140</v>
      </c>
      <c r="BT125" s="1" t="str">
        <f>IFERROR(INDEX($O$11:$O$1013,MATCH(ROWS($BS$11:BS125),$BS$11:$BS$1005,0)),"")</f>
        <v>ETQP4M220YFN</v>
      </c>
      <c r="BU125" s="69" t="str">
        <f t="shared" si="13"/>
        <v>ETQP4M220YFN</v>
      </c>
    </row>
    <row r="126" spans="1:75" ht="15">
      <c r="A126" s="1">
        <v>35</v>
      </c>
      <c r="B126" s="28" t="s">
        <v>109</v>
      </c>
      <c r="D126" s="1" t="s">
        <v>110</v>
      </c>
      <c r="E126" s="58"/>
      <c r="F126" s="1" t="s">
        <v>111</v>
      </c>
      <c r="G126" s="2" t="s">
        <v>112</v>
      </c>
      <c r="H126" s="1" t="s">
        <v>113</v>
      </c>
      <c r="I126" s="2" t="s">
        <v>114</v>
      </c>
      <c r="J126" s="1" t="s">
        <v>115</v>
      </c>
      <c r="K126" s="1" t="s">
        <v>116</v>
      </c>
      <c r="L126" s="1" t="s">
        <v>279</v>
      </c>
      <c r="M126" s="1" t="s">
        <v>297</v>
      </c>
      <c r="N126" s="1" t="s">
        <v>154</v>
      </c>
      <c r="O126" s="96" t="s">
        <v>436</v>
      </c>
      <c r="P126" s="60" t="str">
        <f>MID(All_PCC_a[[#This Row],[Part Number]],7,3)</f>
        <v>470</v>
      </c>
      <c r="Q126" s="61">
        <v>48</v>
      </c>
      <c r="R126" s="61" t="str">
        <f>IF(All_PCC_a[[#This Row],[Lo (uH)]]&lt;1,"&lt;1",IF(All_PCC_a[[#This Row],[Lo (uH)]]&lt;10,"&lt;10",IF(All_PCC_a[[#This Row],[Lo (uH)]]&lt;100,"&lt;100",IF(All_PCC_a[[#This Row],[Lo (uH)]]&lt;2000,"&lt;2000",""))))</f>
        <v>&lt;100</v>
      </c>
      <c r="S126" s="61" t="str">
        <f>IFERROR(VLOOKUP(All_PCC_a[[#This Row],[Lo (uH)]],[1]Utility!$D$5:$E$43,2,1),"-")</f>
        <v>≤  50</v>
      </c>
      <c r="T126" s="62">
        <v>0.2</v>
      </c>
      <c r="U126" s="63">
        <v>156</v>
      </c>
      <c r="V126" s="63">
        <v>172</v>
      </c>
      <c r="W126" s="61">
        <v>10</v>
      </c>
      <c r="X126" s="61">
        <v>2.9</v>
      </c>
      <c r="Y126" s="61">
        <v>2.2999999999999998</v>
      </c>
      <c r="Z126" s="97">
        <v>4.0999999999999996</v>
      </c>
      <c r="AA126" s="61">
        <v>2.94</v>
      </c>
      <c r="AB126" s="1">
        <v>7.5</v>
      </c>
      <c r="AC126" s="1">
        <v>7</v>
      </c>
      <c r="AD126" s="61">
        <v>5.4</v>
      </c>
      <c r="AE126" s="1">
        <f>ROUND(All_PCC_a[[#This Row],[L (mm)]]*All_PCC_a[[#This Row],[W (mm)]],1)</f>
        <v>52.5</v>
      </c>
      <c r="AF126" s="61" t="str">
        <f>All_PCC_a[[#This Row],[L (mm)]]&amp;"  x  "&amp;All_PCC_a[[#This Row],[W (mm)]]</f>
        <v>7,5  x  7</v>
      </c>
      <c r="AG126" s="98" t="s">
        <v>282</v>
      </c>
      <c r="AH126" s="61" t="str">
        <f>IF(All_PCC_a[[#This Row],[Max Height (mm)]]&lt;=9,"≤ "&amp;ROUNDUP(AD126,0),"≤"&amp;ROUNDUP(AD126,0))</f>
        <v>≤ 6</v>
      </c>
      <c r="AI126" s="11">
        <v>-40</v>
      </c>
      <c r="AJ126" s="11">
        <v>150</v>
      </c>
      <c r="AK126" s="1" t="str">
        <f>All_PCC_a[[#This Row],[Min Temp (deg.C)]]&amp;" to +"&amp;All_PCC_a[[#This Row],[Max Temp (deg.C)]]</f>
        <v>-40 to +150</v>
      </c>
      <c r="AL126" s="1"/>
      <c r="AO126" s="61" t="s">
        <v>144</v>
      </c>
      <c r="AP126" s="61" t="str">
        <f t="shared" si="15"/>
        <v>-</v>
      </c>
      <c r="AQ126" s="61" t="s">
        <v>122</v>
      </c>
      <c r="AR126" s="61" t="s">
        <v>122</v>
      </c>
      <c r="AS126" s="1" t="s">
        <v>437</v>
      </c>
      <c r="AT126" s="1" t="s">
        <v>124</v>
      </c>
      <c r="AU126" s="1" t="e" vm="1">
        <f ca="1">_xlfn.IMAGE(All_PCC_a[[#This Row],[Image URL]])</f>
        <v>#NAME?</v>
      </c>
      <c r="AW126" s="1"/>
      <c r="AY126" s="1"/>
      <c r="BC126" s="1">
        <f>IF(Z126&lt;('[1]DCDC Ref'!$J$24/'[1]DCDC Ref'!$J$26)*'[1]DCDC Ref'!$J$28/100,0,1)</f>
        <v>1</v>
      </c>
      <c r="BD126" s="66">
        <f>IF(BC126=1000000000,"",('All Data'!Q126-'[1]DCDC Ref'!$J$30)/'[1]DCDC Ref'!$J$30*100)</f>
        <v>7495.6043956043959</v>
      </c>
      <c r="BE126" s="67">
        <f t="shared" si="11"/>
        <v>7495.6043956043959</v>
      </c>
      <c r="BF126" s="67"/>
      <c r="BG126" s="66"/>
      <c r="BH126" s="68">
        <f t="shared" si="8"/>
        <v>0</v>
      </c>
      <c r="BI126" s="67"/>
      <c r="BJ126" s="1">
        <f>IF(BC126=0,"",('All Data'!Z126-'[1]DCDC Ref'!$J$28*('[1]DCDC Ref'!$J$29/100))/'[1]DCDC Ref'!$J$28*('[1]DCDC Ref'!$J$29/100)*100)</f>
        <v>-63.24137931034484</v>
      </c>
      <c r="BK126" s="68">
        <f t="shared" si="9"/>
        <v>10000</v>
      </c>
      <c r="BL126" s="68"/>
      <c r="BM126" s="68"/>
      <c r="BN126" s="68"/>
      <c r="BO126" s="68"/>
      <c r="BQ126" s="5">
        <f t="shared" si="12"/>
        <v>37528021.978021979</v>
      </c>
      <c r="BR126" s="5">
        <f>IF(BQ126="","",RANK(BQ126,BQ$11:BQ$9930,1)+COUNTIF(BQ$11:BQ126,BQ126)-1)</f>
        <v>141</v>
      </c>
      <c r="BS126" s="69">
        <f t="shared" si="10"/>
        <v>141</v>
      </c>
      <c r="BT126" s="1" t="str">
        <f>IFERROR(INDEX($O$11:$O$1013,MATCH(ROWS($BS$11:BS126),$BS$11:$BS$1005,0)),"")</f>
        <v>ETQP4M220YFP</v>
      </c>
      <c r="BU126" s="69" t="str">
        <f t="shared" si="13"/>
        <v>ETQP4M220YFP</v>
      </c>
    </row>
    <row r="127" spans="1:75" ht="15">
      <c r="A127" s="1">
        <v>22</v>
      </c>
      <c r="B127" s="28" t="s">
        <v>109</v>
      </c>
      <c r="D127" s="1" t="s">
        <v>110</v>
      </c>
      <c r="E127" s="58"/>
      <c r="F127" s="1" t="s">
        <v>111</v>
      </c>
      <c r="G127" s="2" t="s">
        <v>112</v>
      </c>
      <c r="H127" s="1" t="s">
        <v>113</v>
      </c>
      <c r="I127" s="2" t="s">
        <v>114</v>
      </c>
      <c r="J127" s="1" t="s">
        <v>115</v>
      </c>
      <c r="K127" s="1" t="s">
        <v>116</v>
      </c>
      <c r="L127" s="1" t="s">
        <v>195</v>
      </c>
      <c r="M127" s="1" t="s">
        <v>196</v>
      </c>
      <c r="N127" s="1" t="s">
        <v>119</v>
      </c>
      <c r="O127" s="59" t="s">
        <v>438</v>
      </c>
      <c r="P127" s="60" t="str">
        <f>MID(All_PCC_a[[#This Row],[Part Number]],7,3)</f>
        <v>680</v>
      </c>
      <c r="Q127" s="61">
        <v>66</v>
      </c>
      <c r="R127" s="61" t="str">
        <f>IF(All_PCC_a[[#This Row],[Lo (uH)]]&lt;1,"&lt;1",IF(All_PCC_a[[#This Row],[Lo (uH)]]&lt;10,"&lt;10",IF(All_PCC_a[[#This Row],[Lo (uH)]]&lt;100,"&lt;100",IF(All_PCC_a[[#This Row],[Lo (uH)]]&lt;2000,"&lt;2000",""))))</f>
        <v>&lt;100</v>
      </c>
      <c r="S127" s="61" t="str">
        <f>IFERROR(VLOOKUP(All_PCC_a[[#This Row],[Lo (uH)]],[1]Utility!$D$5:$E$43,2,1),"-")</f>
        <v>≤  70</v>
      </c>
      <c r="T127" s="62">
        <v>0.2</v>
      </c>
      <c r="U127" s="63">
        <v>136</v>
      </c>
      <c r="V127" s="63">
        <v>149.6</v>
      </c>
      <c r="W127" s="61">
        <v>10</v>
      </c>
      <c r="X127" s="61">
        <v>3.6</v>
      </c>
      <c r="Y127" s="61">
        <v>3</v>
      </c>
      <c r="Z127" s="64">
        <v>4.9000000000000004</v>
      </c>
      <c r="AA127" s="61">
        <v>3.75</v>
      </c>
      <c r="AB127" s="1">
        <v>10.7</v>
      </c>
      <c r="AC127" s="1">
        <v>10</v>
      </c>
      <c r="AD127" s="61">
        <v>5.4</v>
      </c>
      <c r="AE127" s="1">
        <f>ROUND(All_PCC_a[[#This Row],[L (mm)]]*All_PCC_a[[#This Row],[W (mm)]],1)</f>
        <v>107</v>
      </c>
      <c r="AF127" s="61" t="str">
        <f>All_PCC_a[[#This Row],[L (mm)]]&amp;"  x  "&amp;All_PCC_a[[#This Row],[W (mm)]]</f>
        <v>10,7  x  10</v>
      </c>
      <c r="AG127" s="65" t="s">
        <v>121</v>
      </c>
      <c r="AH127" s="61" t="str">
        <f>IF(All_PCC_a[[#This Row],[Max Height (mm)]]&lt;=9,"≤ "&amp;ROUNDUP(AD127,0),"≤"&amp;ROUNDUP(AD127,0))</f>
        <v>≤ 6</v>
      </c>
      <c r="AI127" s="1">
        <v>-40</v>
      </c>
      <c r="AJ127" s="1">
        <v>150</v>
      </c>
      <c r="AK127" s="1" t="str">
        <f>All_PCC_a[[#This Row],[Min Temp (deg.C)]]&amp;" to +"&amp;All_PCC_a[[#This Row],[Max Temp (deg.C)]]</f>
        <v>-40 to +150</v>
      </c>
      <c r="AL127" s="1"/>
      <c r="AO127" s="61" t="s">
        <v>122</v>
      </c>
      <c r="AP127" s="61" t="str">
        <f t="shared" si="15"/>
        <v>-</v>
      </c>
      <c r="AQ127" s="61" t="s">
        <v>122</v>
      </c>
      <c r="AR127" s="61" t="s">
        <v>122</v>
      </c>
      <c r="AS127" s="1" t="s">
        <v>439</v>
      </c>
      <c r="AT127" s="1" t="s">
        <v>124</v>
      </c>
      <c r="AU127" s="1" t="e" vm="1">
        <f ca="1">_xlfn.IMAGE(All_PCC_a[[#This Row],[Image URL]])</f>
        <v>#NAME?</v>
      </c>
      <c r="AW127" s="1"/>
      <c r="AY127" s="1"/>
      <c r="BC127" s="1">
        <f>IF(Z127&lt;('[1]DCDC Ref'!$J$24/'[1]DCDC Ref'!$J$26)*'[1]DCDC Ref'!$J$28/100,0,1)</f>
        <v>1</v>
      </c>
      <c r="BD127" s="66">
        <f>IF(BC127=1000000000,"",('All Data'!Q127-'[1]DCDC Ref'!$J$30)/'[1]DCDC Ref'!$J$30*100)</f>
        <v>10343.956043956045</v>
      </c>
      <c r="BE127" s="67">
        <f t="shared" si="11"/>
        <v>10343.956043956045</v>
      </c>
      <c r="BF127" s="67"/>
      <c r="BG127" s="66"/>
      <c r="BH127" s="68">
        <f t="shared" si="8"/>
        <v>0</v>
      </c>
      <c r="BI127" s="67"/>
      <c r="BJ127" s="1">
        <f>IF(BC127=0,"",('All Data'!Z127-'[1]DCDC Ref'!$J$28*('[1]DCDC Ref'!$J$29/100))/'[1]DCDC Ref'!$J$28*('[1]DCDC Ref'!$J$29/100)*100)</f>
        <v>-56.068965517241374</v>
      </c>
      <c r="BK127" s="68">
        <f t="shared" si="9"/>
        <v>10000</v>
      </c>
      <c r="BL127" s="68"/>
      <c r="BM127" s="68"/>
      <c r="BN127" s="68"/>
      <c r="BO127" s="68"/>
      <c r="BQ127" s="5">
        <f t="shared" si="12"/>
        <v>51769780.219780222</v>
      </c>
      <c r="BR127" s="5">
        <f>IF(BQ127="","",RANK(BQ127,BQ$11:BQ$9930,1)+COUNTIF(BQ$11:BQ127,BQ127)-1)</f>
        <v>142</v>
      </c>
      <c r="BS127" s="69">
        <f t="shared" si="10"/>
        <v>142</v>
      </c>
      <c r="BT127" s="1" t="str">
        <f>IFERROR(INDEX($O$11:$O$1013,MATCH(ROWS($BS$11:BS127),$BS$11:$BS$1005,0)),"")</f>
        <v>ETQP5M220YFC</v>
      </c>
      <c r="BU127" s="69" t="str">
        <f t="shared" si="13"/>
        <v>ETQP5M220YFC</v>
      </c>
    </row>
    <row r="128" spans="1:75" ht="15">
      <c r="A128" s="1">
        <v>108</v>
      </c>
      <c r="B128" s="28" t="s">
        <v>109</v>
      </c>
      <c r="C128" s="1" t="s">
        <v>440</v>
      </c>
      <c r="D128" s="75" t="s">
        <v>110</v>
      </c>
      <c r="E128" s="78"/>
      <c r="F128" s="109" t="s">
        <v>111</v>
      </c>
      <c r="G128" s="79" t="s">
        <v>112</v>
      </c>
      <c r="H128" s="75" t="s">
        <v>113</v>
      </c>
      <c r="I128" s="79" t="s">
        <v>114</v>
      </c>
      <c r="J128" s="75" t="s">
        <v>115</v>
      </c>
      <c r="K128" s="75" t="s">
        <v>116</v>
      </c>
      <c r="L128" s="75" t="s">
        <v>279</v>
      </c>
      <c r="M128" s="75" t="s">
        <v>280</v>
      </c>
      <c r="N128" s="75" t="s">
        <v>119</v>
      </c>
      <c r="O128" s="59" t="s">
        <v>441</v>
      </c>
      <c r="P128" s="60" t="str">
        <f>MID(All_PCC_a[[#This Row],[Part Number]],7,3)</f>
        <v>680</v>
      </c>
      <c r="Q128" s="80">
        <v>68</v>
      </c>
      <c r="R128" s="80" t="str">
        <f>IF(All_PCC_a[[#This Row],[Lo (uH)]]&lt;1,"&lt;1",IF(All_PCC_a[[#This Row],[Lo (uH)]]&lt;10,"&lt;10",IF(All_PCC_a[[#This Row],[Lo (uH)]]&lt;100,"&lt;100",IF(All_PCC_a[[#This Row],[Lo (uH)]]&lt;2000,"&lt;2000",""))))</f>
        <v>&lt;100</v>
      </c>
      <c r="S128" s="80" t="str">
        <f>IFERROR(VLOOKUP(All_PCC_a[[#This Row],[Lo (uH)]],[1]Utility!$D$5:$E$43,2,1),"-")</f>
        <v>≤  70</v>
      </c>
      <c r="T128" s="72">
        <v>0.2</v>
      </c>
      <c r="U128" s="88">
        <v>251</v>
      </c>
      <c r="V128" s="88">
        <f>All_PCC_a[[#This Row],[DCR Typ (mOhm)]]*1.1</f>
        <v>276.10000000000002</v>
      </c>
      <c r="W128" s="80">
        <v>10</v>
      </c>
      <c r="X128" s="92">
        <v>2.2999999999999998</v>
      </c>
      <c r="Y128" s="80">
        <v>1.9</v>
      </c>
      <c r="Z128" s="90">
        <v>3.9</v>
      </c>
      <c r="AA128" s="80">
        <v>2.75</v>
      </c>
      <c r="AB128" s="75">
        <v>7.5</v>
      </c>
      <c r="AC128" s="75">
        <v>7</v>
      </c>
      <c r="AD128" s="80">
        <v>5.4</v>
      </c>
      <c r="AE128" s="75">
        <f>ROUND(All_PCC_a[[#This Row],[L (mm)]]*All_PCC_a[[#This Row],[W (mm)]],1)</f>
        <v>52.5</v>
      </c>
      <c r="AF128" s="61" t="str">
        <f>All_PCC_a[[#This Row],[L (mm)]]&amp;"  x  "&amp;All_PCC_a[[#This Row],[W (mm)]]</f>
        <v>7,5  x  7</v>
      </c>
      <c r="AG128" s="74" t="s">
        <v>282</v>
      </c>
      <c r="AH128" s="61" t="str">
        <f>IF(All_PCC_a[[#This Row],[Max Height (mm)]]&lt;=9,"≤ "&amp;ROUNDUP(AD128,0),"≤"&amp;ROUNDUP(AD128,0))</f>
        <v>≤ 6</v>
      </c>
      <c r="AI128" s="93">
        <v>-40</v>
      </c>
      <c r="AJ128" s="75">
        <v>150</v>
      </c>
      <c r="AK128" s="1" t="str">
        <f>All_PCC_a[[#This Row],[Min Temp (deg.C)]]&amp;" to +"&amp;All_PCC_a[[#This Row],[Max Temp (deg.C)]]</f>
        <v>-40 to +150</v>
      </c>
      <c r="AL128" s="75"/>
      <c r="AM128" s="75"/>
      <c r="AN128" s="75"/>
      <c r="AO128" s="80" t="s">
        <v>122</v>
      </c>
      <c r="AP128" s="92" t="str">
        <f t="shared" si="15"/>
        <v>-</v>
      </c>
      <c r="AQ128" s="80" t="s">
        <v>122</v>
      </c>
      <c r="AR128" s="80" t="s">
        <v>122</v>
      </c>
      <c r="AS128" s="75" t="s">
        <v>442</v>
      </c>
      <c r="AT128" s="1" t="s">
        <v>124</v>
      </c>
      <c r="AU128" s="1" t="e" vm="1">
        <f ca="1">_xlfn.IMAGE(All_PCC_a[[#This Row],[Image URL]])</f>
        <v>#NAME?</v>
      </c>
      <c r="AV128" s="75"/>
      <c r="AW128" s="75"/>
      <c r="AY128" s="1"/>
      <c r="BC128" s="1">
        <f>IF(Z128&lt;('[1]DCDC Ref'!$J$24/'[1]DCDC Ref'!$J$26)*'[1]DCDC Ref'!$J$28/100,0,1)</f>
        <v>1</v>
      </c>
      <c r="BD128" s="66">
        <f>IF(BC128=1000000000,"",('All Data'!Q128-'[1]DCDC Ref'!$J$30)/'[1]DCDC Ref'!$J$30*100)</f>
        <v>10660.439560439561</v>
      </c>
      <c r="BE128" s="67">
        <f t="shared" si="11"/>
        <v>10660.439560439561</v>
      </c>
      <c r="BF128" s="67"/>
      <c r="BG128" s="66"/>
      <c r="BH128" s="68">
        <f t="shared" si="8"/>
        <v>0</v>
      </c>
      <c r="BI128" s="67"/>
      <c r="BJ128" s="1">
        <f>IF(BC128=0,"",('All Data'!Z128-'[1]DCDC Ref'!$J$28*('[1]DCDC Ref'!$J$29/100))/'[1]DCDC Ref'!$J$28*('[1]DCDC Ref'!$J$29/100)*100)</f>
        <v>-65.034482758620697</v>
      </c>
      <c r="BK128" s="68">
        <f t="shared" si="9"/>
        <v>10000</v>
      </c>
      <c r="BL128" s="68"/>
      <c r="BM128" s="68"/>
      <c r="BN128" s="68"/>
      <c r="BO128" s="68"/>
      <c r="BQ128" s="5">
        <f t="shared" si="12"/>
        <v>53352197.802197807</v>
      </c>
      <c r="BR128" s="5">
        <f>IF(BQ128="","",RANK(BQ128,BQ$11:BQ$9930,1)+COUNTIF(BQ$11:BQ128,BQ128)-1)</f>
        <v>143</v>
      </c>
      <c r="BS128" s="69">
        <f t="shared" si="10"/>
        <v>143</v>
      </c>
      <c r="BT128" s="1" t="str">
        <f>IFERROR(INDEX($O$11:$O$1013,MATCH(ROWS($BS$11:BS128),$BS$11:$BS$1005,0)),"")</f>
        <v>ETQP5M220YFK</v>
      </c>
      <c r="BU128" s="69" t="str">
        <f t="shared" si="13"/>
        <v>ETQP5M220YFK</v>
      </c>
    </row>
    <row r="129" spans="1:73">
      <c r="A129" s="1">
        <v>118</v>
      </c>
      <c r="B129" s="28" t="s">
        <v>109</v>
      </c>
      <c r="C129" s="1" t="s">
        <v>146</v>
      </c>
      <c r="D129" s="1" t="s">
        <v>110</v>
      </c>
      <c r="E129" s="2"/>
      <c r="F129" s="1" t="s">
        <v>111</v>
      </c>
      <c r="G129" s="2" t="s">
        <v>112</v>
      </c>
      <c r="H129" s="1" t="s">
        <v>113</v>
      </c>
      <c r="I129" s="2" t="s">
        <v>114</v>
      </c>
      <c r="J129" s="1" t="s">
        <v>115</v>
      </c>
      <c r="K129" s="1" t="s">
        <v>134</v>
      </c>
      <c r="L129" s="1" t="s">
        <v>191</v>
      </c>
      <c r="M129" s="1" t="s">
        <v>192</v>
      </c>
      <c r="N129" s="1" t="s">
        <v>119</v>
      </c>
      <c r="O129" s="59" t="s">
        <v>443</v>
      </c>
      <c r="P129" s="60" t="str">
        <f>MID(All_PCC_a[[#This Row],[Part Number]],7,3)</f>
        <v>680</v>
      </c>
      <c r="Q129" s="61">
        <v>68</v>
      </c>
      <c r="R129" s="71" t="str">
        <f>IF(All_PCC_a[[#This Row],[Lo (uH)]]&lt;1,"&lt;1",IF(All_PCC_a[[#This Row],[Lo (uH)]]&lt;10,"&lt;10",IF(All_PCC_a[[#This Row],[Lo (uH)]]&lt;100,"&lt;100",IF(All_PCC_a[[#This Row],[Lo (uH)]]&lt;2000,"&lt;2000",""))))</f>
        <v>&lt;100</v>
      </c>
      <c r="S129" s="61" t="str">
        <f>IFERROR(VLOOKUP(All_PCC_a[[#This Row],[Lo (uH)]],[1]Utility!$D$5:$E$43,2,1),"-")</f>
        <v>≤  70</v>
      </c>
      <c r="T129" s="62">
        <v>0.2</v>
      </c>
      <c r="U129" s="70">
        <v>178.4</v>
      </c>
      <c r="V129" s="70">
        <v>196.24</v>
      </c>
      <c r="W129" s="61">
        <v>10</v>
      </c>
      <c r="X129" s="71">
        <v>2.9</v>
      </c>
      <c r="Y129" s="61">
        <v>2.4</v>
      </c>
      <c r="Z129" s="64">
        <v>4.7</v>
      </c>
      <c r="AA129" s="77">
        <v>3.35</v>
      </c>
      <c r="AB129" s="1">
        <v>10.7</v>
      </c>
      <c r="AC129" s="1">
        <v>10</v>
      </c>
      <c r="AD129" s="61">
        <v>4</v>
      </c>
      <c r="AE129" s="1">
        <f>ROUND(All_PCC_a[[#This Row],[L (mm)]]*All_PCC_a[[#This Row],[W (mm)]],1)</f>
        <v>107</v>
      </c>
      <c r="AF129" s="61" t="str">
        <f>All_PCC_a[[#This Row],[L (mm)]]&amp;"  x  "&amp;All_PCC_a[[#This Row],[W (mm)]]</f>
        <v>10,7  x  10</v>
      </c>
      <c r="AG129" s="65" t="s">
        <v>121</v>
      </c>
      <c r="AH129" s="61" t="str">
        <f>IF(All_PCC_a[[#This Row],[Max Height (mm)]]&lt;=9,"≤ "&amp;ROUNDUP(AD129,0),"≤"&amp;ROUNDUP(AD129,0))</f>
        <v>≤ 4</v>
      </c>
      <c r="AI129" s="1">
        <v>-55</v>
      </c>
      <c r="AJ129" s="1">
        <v>155</v>
      </c>
      <c r="AK129" s="1" t="str">
        <f>All_PCC_a[[#This Row],[Min Temp (deg.C)]]&amp;" to +"&amp;All_PCC_a[[#This Row],[Max Temp (deg.C)]]</f>
        <v>-55 to +155</v>
      </c>
      <c r="AL129" s="1"/>
      <c r="AO129" s="61" t="s">
        <v>122</v>
      </c>
      <c r="AP129" s="61" t="str">
        <f t="shared" si="15"/>
        <v>-</v>
      </c>
      <c r="AQ129" s="61" t="s">
        <v>122</v>
      </c>
      <c r="AR129" s="61" t="s">
        <v>122</v>
      </c>
      <c r="AS129" s="1" t="s">
        <v>444</v>
      </c>
      <c r="AT129" s="1" t="s">
        <v>140</v>
      </c>
      <c r="AU129" s="1" t="e" vm="1">
        <f ca="1">_xlfn.IMAGE(All_PCC_a[[#This Row],[Image URL]])</f>
        <v>#NAME?</v>
      </c>
      <c r="AW129" s="1"/>
      <c r="AY129" s="1"/>
      <c r="BC129" s="1">
        <f>IF(Z129&lt;('[1]DCDC Ref'!$J$24/'[1]DCDC Ref'!$J$26)*'[1]DCDC Ref'!$J$28/100,0,1)</f>
        <v>1</v>
      </c>
      <c r="BD129" s="66">
        <f>IF(BC129=1000000000,"",('All Data'!Q129-'[1]DCDC Ref'!$J$30)/'[1]DCDC Ref'!$J$30*100)</f>
        <v>10660.439560439561</v>
      </c>
      <c r="BE129" s="67">
        <f t="shared" si="11"/>
        <v>10660.439560439561</v>
      </c>
      <c r="BF129" s="67"/>
      <c r="BG129" s="66"/>
      <c r="BH129" s="68">
        <f t="shared" si="8"/>
        <v>0</v>
      </c>
      <c r="BI129" s="67"/>
      <c r="BJ129" s="1">
        <f>IF(BC129=0,"",('All Data'!Z129-'[1]DCDC Ref'!$J$28*('[1]DCDC Ref'!$J$29/100))/'[1]DCDC Ref'!$J$28*('[1]DCDC Ref'!$J$29/100)*100)</f>
        <v>-57.862068965517246</v>
      </c>
      <c r="BK129" s="68">
        <f t="shared" si="9"/>
        <v>10000</v>
      </c>
      <c r="BL129" s="68"/>
      <c r="BM129" s="68"/>
      <c r="BN129" s="68"/>
      <c r="BO129" s="68"/>
      <c r="BQ129" s="5">
        <f t="shared" si="12"/>
        <v>53352197.802197807</v>
      </c>
      <c r="BR129" s="5">
        <f>IF(BQ129="","",RANK(BQ129,BQ$11:BQ$9930,1)+COUNTIF(BQ$11:BQ129,BQ129)-1)</f>
        <v>144</v>
      </c>
      <c r="BS129" s="69">
        <f t="shared" si="10"/>
        <v>144</v>
      </c>
      <c r="BT129" s="1" t="str">
        <f>IFERROR(INDEX($O$11:$O$1013,MATCH(ROWS($BS$11:BS129),$BS$11:$BS$1005,0)),"")</f>
        <v>ETQP5M220YFM</v>
      </c>
      <c r="BU129" s="69" t="str">
        <f t="shared" si="13"/>
        <v>ETQP5M220YFM</v>
      </c>
    </row>
    <row r="130" spans="1:73">
      <c r="A130" s="1">
        <v>125</v>
      </c>
      <c r="B130" s="28" t="s">
        <v>109</v>
      </c>
      <c r="C130" s="24">
        <v>44883</v>
      </c>
      <c r="D130" s="1" t="s">
        <v>110</v>
      </c>
      <c r="E130" s="2"/>
      <c r="F130" s="1" t="s">
        <v>357</v>
      </c>
      <c r="G130" s="2" t="s">
        <v>112</v>
      </c>
      <c r="H130" s="1" t="s">
        <v>113</v>
      </c>
      <c r="I130" s="2" t="s">
        <v>114</v>
      </c>
      <c r="J130" s="1" t="s">
        <v>115</v>
      </c>
      <c r="K130" s="1" t="s">
        <v>116</v>
      </c>
      <c r="L130" s="1" t="s">
        <v>287</v>
      </c>
      <c r="M130" s="1" t="s">
        <v>288</v>
      </c>
      <c r="N130" s="1" t="s">
        <v>119</v>
      </c>
      <c r="O130" s="59" t="s">
        <v>445</v>
      </c>
      <c r="P130" s="60" t="str">
        <f>MID(All_PCC_a[[#This Row],[Part Number]],7,3)</f>
        <v>820</v>
      </c>
      <c r="Q130" s="61">
        <v>82</v>
      </c>
      <c r="R130" s="71" t="str">
        <f>IF(All_PCC_a[[#This Row],[Lo (uH)]]&lt;1,"&lt;1",IF(All_PCC_a[[#This Row],[Lo (uH)]]&lt;10,"&lt;10",IF(All_PCC_a[[#This Row],[Lo (uH)]]&lt;100,"&lt;100",IF(All_PCC_a[[#This Row],[Lo (uH)]]&lt;2000,"&lt;2000",""))))</f>
        <v>&lt;100</v>
      </c>
      <c r="S130" s="61" t="str">
        <f>IFERROR(VLOOKUP(All_PCC_a[[#This Row],[Lo (uH)]],[1]Utility!$D$5:$E$43,2,1),"-")</f>
        <v>≤  90</v>
      </c>
      <c r="T130" s="62">
        <v>0.2</v>
      </c>
      <c r="U130" s="70">
        <v>194</v>
      </c>
      <c r="V130" s="70">
        <v>213.4</v>
      </c>
      <c r="W130" s="61">
        <v>10</v>
      </c>
      <c r="X130" s="71">
        <v>2.8</v>
      </c>
      <c r="Y130" s="61">
        <v>2.2000000000000002</v>
      </c>
      <c r="Z130" s="64">
        <v>4.3</v>
      </c>
      <c r="AA130" s="61">
        <v>3.1</v>
      </c>
      <c r="AB130" s="1">
        <v>10.7</v>
      </c>
      <c r="AC130" s="1">
        <v>10</v>
      </c>
      <c r="AD130" s="61">
        <v>5</v>
      </c>
      <c r="AE130" s="1">
        <f>ROUND(All_PCC_a[[#This Row],[L (mm)]]*All_PCC_a[[#This Row],[W (mm)]],1)</f>
        <v>107</v>
      </c>
      <c r="AF130" s="61" t="str">
        <f>All_PCC_a[[#This Row],[L (mm)]]&amp;"  x  "&amp;All_PCC_a[[#This Row],[W (mm)]]</f>
        <v>10,7  x  10</v>
      </c>
      <c r="AG130" s="65" t="s">
        <v>121</v>
      </c>
      <c r="AH130" s="61" t="str">
        <f>IF(All_PCC_a[[#This Row],[Max Height (mm)]]&lt;=9,"≤ "&amp;ROUNDUP(AD130,0),"≤"&amp;ROUNDUP(AD130,0))</f>
        <v>≤ 5</v>
      </c>
      <c r="AI130" s="1">
        <v>-40</v>
      </c>
      <c r="AJ130" s="1">
        <v>150</v>
      </c>
      <c r="AK130" s="1" t="str">
        <f>All_PCC_a[[#This Row],[Min Temp (deg.C)]]&amp;" to +"&amp;All_PCC_a[[#This Row],[Max Temp (deg.C)]]</f>
        <v>-40 to +150</v>
      </c>
      <c r="AL130" s="1"/>
      <c r="AO130" s="61" t="s">
        <v>122</v>
      </c>
      <c r="AP130" s="71" t="str">
        <f t="shared" si="15"/>
        <v>-</v>
      </c>
      <c r="AQ130" s="61" t="s">
        <v>122</v>
      </c>
      <c r="AR130" s="61" t="s">
        <v>122</v>
      </c>
      <c r="AS130" s="1" t="s">
        <v>446</v>
      </c>
      <c r="AT130" s="1" t="s">
        <v>124</v>
      </c>
      <c r="AU130" s="1" t="e" vm="1">
        <f ca="1">_xlfn.IMAGE(All_PCC_a[[#This Row],[Image URL]])</f>
        <v>#NAME?</v>
      </c>
      <c r="AW130" s="1"/>
      <c r="AY130" s="1"/>
      <c r="BC130" s="1">
        <f>IF(Z130&lt;('[1]DCDC Ref'!$J$24/'[1]DCDC Ref'!$J$26)*'[1]DCDC Ref'!$J$28/100,0,1)</f>
        <v>1</v>
      </c>
      <c r="BD130" s="66">
        <f>IF(BC130=1000000000,"",('All Data'!Q130-'[1]DCDC Ref'!$J$30)/'[1]DCDC Ref'!$J$30*100)</f>
        <v>12875.824175824175</v>
      </c>
      <c r="BE130" s="67">
        <f t="shared" si="11"/>
        <v>12875.824175824175</v>
      </c>
      <c r="BF130" s="67"/>
      <c r="BG130" s="66"/>
      <c r="BH130" s="68">
        <f t="shared" si="8"/>
        <v>0</v>
      </c>
      <c r="BI130" s="67"/>
      <c r="BJ130" s="1">
        <f>IF(BC130=0,"",('All Data'!Z130-'[1]DCDC Ref'!$J$28*('[1]DCDC Ref'!$J$29/100))/'[1]DCDC Ref'!$J$28*('[1]DCDC Ref'!$J$29/100)*100)</f>
        <v>-61.448275862068968</v>
      </c>
      <c r="BK130" s="68">
        <f t="shared" si="9"/>
        <v>10000</v>
      </c>
      <c r="BL130" s="68"/>
      <c r="BM130" s="68"/>
      <c r="BN130" s="68"/>
      <c r="BO130" s="68"/>
      <c r="BQ130" s="5">
        <f t="shared" si="12"/>
        <v>64429120.879120871</v>
      </c>
      <c r="BR130" s="5">
        <f>IF(BQ130="","",RANK(BQ130,BQ$11:BQ$9930,1)+COUNTIF(BQ$11:BQ130,BQ130)-1)</f>
        <v>145</v>
      </c>
      <c r="BS130" s="69">
        <f t="shared" si="10"/>
        <v>145</v>
      </c>
      <c r="BT130" s="1" t="str">
        <f>IFERROR(INDEX($O$11:$O$1013,MATCH(ROWS($BS$11:BS130),$BS$11:$BS$1005,0)),"")</f>
        <v>ETQP3M220KVN</v>
      </c>
      <c r="BU130" s="69" t="str">
        <f t="shared" si="13"/>
        <v>ETQP3M220KVN</v>
      </c>
    </row>
    <row r="131" spans="1:73" ht="15">
      <c r="A131" s="1">
        <v>36</v>
      </c>
      <c r="B131" s="28" t="s">
        <v>109</v>
      </c>
      <c r="D131" s="1" t="s">
        <v>110</v>
      </c>
      <c r="E131" s="58"/>
      <c r="F131" s="1" t="s">
        <v>111</v>
      </c>
      <c r="G131" s="2" t="s">
        <v>112</v>
      </c>
      <c r="H131" s="1" t="s">
        <v>113</v>
      </c>
      <c r="I131" s="2" t="s">
        <v>114</v>
      </c>
      <c r="J131" s="1" t="s">
        <v>115</v>
      </c>
      <c r="K131" s="1" t="s">
        <v>116</v>
      </c>
      <c r="L131" s="1" t="s">
        <v>447</v>
      </c>
      <c r="M131" s="1" t="s">
        <v>448</v>
      </c>
      <c r="N131" s="1" t="s">
        <v>119</v>
      </c>
      <c r="O131" s="59" t="s">
        <v>449</v>
      </c>
      <c r="P131" s="60" t="str">
        <f>MID(All_PCC_a[[#This Row],[Part Number]],7,3)</f>
        <v>101</v>
      </c>
      <c r="Q131" s="61">
        <v>95</v>
      </c>
      <c r="R131" s="61" t="str">
        <f>IF(All_PCC_a[[#This Row],[Lo (uH)]]&lt;1,"&lt;1",IF(All_PCC_a[[#This Row],[Lo (uH)]]&lt;10,"&lt;10",IF(All_PCC_a[[#This Row],[Lo (uH)]]&lt;100,"&lt;100",IF(All_PCC_a[[#This Row],[Lo (uH)]]&lt;2000,"&lt;2000",""))))</f>
        <v>&lt;100</v>
      </c>
      <c r="S131" s="61" t="str">
        <f>IFERROR(VLOOKUP(All_PCC_a[[#This Row],[Lo (uH)]],[1]Utility!$D$5:$E$43,2,1),"-")</f>
        <v>≤ 100</v>
      </c>
      <c r="T131" s="62">
        <v>0.2</v>
      </c>
      <c r="U131" s="63">
        <v>348</v>
      </c>
      <c r="V131" s="63">
        <v>382.8</v>
      </c>
      <c r="W131" s="61">
        <v>10</v>
      </c>
      <c r="X131" s="61">
        <v>1.9</v>
      </c>
      <c r="Y131" s="61">
        <v>1.4</v>
      </c>
      <c r="Z131" s="64">
        <v>3.1</v>
      </c>
      <c r="AA131" s="61">
        <v>2.4700000000000002</v>
      </c>
      <c r="AB131" s="1">
        <v>7.5</v>
      </c>
      <c r="AC131" s="1">
        <v>7</v>
      </c>
      <c r="AD131" s="61">
        <v>5</v>
      </c>
      <c r="AE131" s="1">
        <f>ROUND(All_PCC_a[[#This Row],[L (mm)]]*All_PCC_a[[#This Row],[W (mm)]],1)</f>
        <v>52.5</v>
      </c>
      <c r="AF131" s="61" t="str">
        <f>All_PCC_a[[#This Row],[L (mm)]]&amp;"  x  "&amp;All_PCC_a[[#This Row],[W (mm)]]</f>
        <v>7,5  x  7</v>
      </c>
      <c r="AG131" s="74" t="s">
        <v>282</v>
      </c>
      <c r="AH131" s="61" t="str">
        <f>IF(All_PCC_a[[#This Row],[Max Height (mm)]]&lt;=9,"≤ "&amp;ROUNDUP(AD131,0),"≤"&amp;ROUNDUP(AD131,0))</f>
        <v>≤ 5</v>
      </c>
      <c r="AI131" s="1">
        <v>-40</v>
      </c>
      <c r="AJ131" s="1">
        <v>150</v>
      </c>
      <c r="AK131" s="1" t="str">
        <f>All_PCC_a[[#This Row],[Min Temp (deg.C)]]&amp;" to +"&amp;All_PCC_a[[#This Row],[Max Temp (deg.C)]]</f>
        <v>-40 to +150</v>
      </c>
      <c r="AL131" s="1"/>
      <c r="AO131" s="61" t="s">
        <v>122</v>
      </c>
      <c r="AP131" s="61" t="str">
        <f t="shared" si="15"/>
        <v>-</v>
      </c>
      <c r="AQ131" s="61" t="s">
        <v>122</v>
      </c>
      <c r="AR131" s="61" t="s">
        <v>122</v>
      </c>
      <c r="AS131" s="1" t="s">
        <v>450</v>
      </c>
      <c r="AT131" s="1" t="s">
        <v>124</v>
      </c>
      <c r="AU131" s="1" t="e" vm="1">
        <f ca="1">_xlfn.IMAGE(All_PCC_a[[#This Row],[Image URL]])</f>
        <v>#NAME?</v>
      </c>
      <c r="AW131" s="1"/>
      <c r="AY131" s="1"/>
      <c r="BC131" s="1">
        <f>IF(Z131&lt;('[1]DCDC Ref'!$J$24/'[1]DCDC Ref'!$J$26)*'[1]DCDC Ref'!$J$28/100,0,1)</f>
        <v>1</v>
      </c>
      <c r="BD131" s="66">
        <f>IF(BC131=1000000000,"",('All Data'!Q131-'[1]DCDC Ref'!$J$30)/'[1]DCDC Ref'!$J$30*100)</f>
        <v>14932.967032967033</v>
      </c>
      <c r="BE131" s="67">
        <f t="shared" si="11"/>
        <v>14932.967032967033</v>
      </c>
      <c r="BF131" s="67"/>
      <c r="BG131" s="66"/>
      <c r="BH131" s="68">
        <f t="shared" si="8"/>
        <v>0</v>
      </c>
      <c r="BI131" s="67"/>
      <c r="BJ131" s="1">
        <f>IF(BC131=0,"",('All Data'!Z131-'[1]DCDC Ref'!$J$28*('[1]DCDC Ref'!$J$29/100))/'[1]DCDC Ref'!$J$28*('[1]DCDC Ref'!$J$29/100)*100)</f>
        <v>-72.206896551724142</v>
      </c>
      <c r="BK131" s="68">
        <f t="shared" si="9"/>
        <v>10000</v>
      </c>
      <c r="BL131" s="68"/>
      <c r="BM131" s="68"/>
      <c r="BN131" s="68"/>
      <c r="BO131" s="68"/>
      <c r="BQ131" s="5">
        <f t="shared" si="12"/>
        <v>74714835.16483517</v>
      </c>
      <c r="BR131" s="5">
        <f>IF(BQ131="","",RANK(BQ131,BQ$11:BQ$9930,1)+COUNTIF(BQ$11:BQ131,BQ131)-1)</f>
        <v>146</v>
      </c>
      <c r="BS131" s="69">
        <f t="shared" si="10"/>
        <v>146</v>
      </c>
      <c r="BT131" s="1" t="str">
        <f>IFERROR(INDEX($O$11:$O$1013,MATCH(ROWS($BS$11:BS131),$BS$11:$BS$1005,0)),"")</f>
        <v>ETQP4M220KVK</v>
      </c>
      <c r="BU131" s="69" t="str">
        <f t="shared" si="13"/>
        <v>ETQP4M220KVK</v>
      </c>
    </row>
    <row r="132" spans="1:73" ht="15">
      <c r="A132" s="1">
        <v>23</v>
      </c>
      <c r="B132" s="28" t="s">
        <v>109</v>
      </c>
      <c r="D132" s="1" t="s">
        <v>110</v>
      </c>
      <c r="E132" s="58"/>
      <c r="F132" s="1" t="s">
        <v>111</v>
      </c>
      <c r="G132" s="2" t="s">
        <v>112</v>
      </c>
      <c r="H132" s="1" t="s">
        <v>113</v>
      </c>
      <c r="I132" s="2" t="s">
        <v>114</v>
      </c>
      <c r="J132" s="1" t="s">
        <v>115</v>
      </c>
      <c r="K132" s="1" t="s">
        <v>116</v>
      </c>
      <c r="L132" s="1" t="s">
        <v>451</v>
      </c>
      <c r="M132" s="1" t="s">
        <v>288</v>
      </c>
      <c r="N132" s="1" t="s">
        <v>154</v>
      </c>
      <c r="O132" s="59" t="s">
        <v>452</v>
      </c>
      <c r="P132" s="60" t="str">
        <f>MID(All_PCC_a[[#This Row],[Part Number]],7,3)</f>
        <v>101</v>
      </c>
      <c r="Q132" s="61">
        <v>97</v>
      </c>
      <c r="R132" s="61" t="str">
        <f>IF(All_PCC_a[[#This Row],[Lo (uH)]]&lt;1,"&lt;1",IF(All_PCC_a[[#This Row],[Lo (uH)]]&lt;10,"&lt;10",IF(All_PCC_a[[#This Row],[Lo (uH)]]&lt;100,"&lt;100",IF(All_PCC_a[[#This Row],[Lo (uH)]]&lt;2000,"&lt;2000",""))))</f>
        <v>&lt;100</v>
      </c>
      <c r="S132" s="61" t="str">
        <f>IFERROR(VLOOKUP(All_PCC_a[[#This Row],[Lo (uH)]],[1]Utility!$D$5:$E$43,2,1),"-")</f>
        <v>≤ 100</v>
      </c>
      <c r="T132" s="62">
        <v>0.2</v>
      </c>
      <c r="U132" s="63">
        <v>208</v>
      </c>
      <c r="V132" s="63">
        <v>229</v>
      </c>
      <c r="W132" s="61">
        <v>10</v>
      </c>
      <c r="X132" s="61">
        <v>2.7</v>
      </c>
      <c r="Y132" s="61">
        <v>2.2000000000000002</v>
      </c>
      <c r="Z132" s="64">
        <v>3</v>
      </c>
      <c r="AA132" s="61">
        <v>2.1800000000000002</v>
      </c>
      <c r="AB132" s="1">
        <v>10.7</v>
      </c>
      <c r="AC132" s="1">
        <v>10</v>
      </c>
      <c r="AD132" s="61">
        <v>5</v>
      </c>
      <c r="AE132" s="1">
        <f>ROUND(All_PCC_a[[#This Row],[L (mm)]]*All_PCC_a[[#This Row],[W (mm)]],1)</f>
        <v>107</v>
      </c>
      <c r="AF132" s="61" t="str">
        <f>All_PCC_a[[#This Row],[L (mm)]]&amp;"  x  "&amp;All_PCC_a[[#This Row],[W (mm)]]</f>
        <v>10,7  x  10</v>
      </c>
      <c r="AG132" s="76" t="s">
        <v>121</v>
      </c>
      <c r="AH132" s="61" t="str">
        <f>IF(All_PCC_a[[#This Row],[Max Height (mm)]]&lt;=9,"≤ "&amp;ROUNDUP(AD132,0),"≤"&amp;ROUNDUP(AD132,0))</f>
        <v>≤ 5</v>
      </c>
      <c r="AI132" s="11">
        <v>-40</v>
      </c>
      <c r="AJ132" s="11">
        <v>150</v>
      </c>
      <c r="AK132" s="1" t="str">
        <f>All_PCC_a[[#This Row],[Min Temp (deg.C)]]&amp;" to +"&amp;All_PCC_a[[#This Row],[Max Temp (deg.C)]]</f>
        <v>-40 to +150</v>
      </c>
      <c r="AL132" s="1"/>
      <c r="AO132" s="61" t="s">
        <v>144</v>
      </c>
      <c r="AP132" s="61" t="str">
        <f t="shared" si="15"/>
        <v>-</v>
      </c>
      <c r="AQ132" s="61" t="s">
        <v>122</v>
      </c>
      <c r="AR132" s="61" t="s">
        <v>122</v>
      </c>
      <c r="AS132" s="1" t="s">
        <v>453</v>
      </c>
      <c r="AT132" s="1" t="s">
        <v>124</v>
      </c>
      <c r="AU132" s="1" t="e" vm="1">
        <f ca="1">_xlfn.IMAGE(All_PCC_a[[#This Row],[Image URL]])</f>
        <v>#NAME?</v>
      </c>
      <c r="AW132" s="1"/>
      <c r="AY132" s="1"/>
      <c r="BC132" s="1">
        <f>IF(Z132&lt;('[1]DCDC Ref'!$J$24/'[1]DCDC Ref'!$J$26)*'[1]DCDC Ref'!$J$28/100,0,1)</f>
        <v>1</v>
      </c>
      <c r="BD132" s="66">
        <f>IF(BC132=1000000000,"",('All Data'!Q132-'[1]DCDC Ref'!$J$30)/'[1]DCDC Ref'!$J$30*100)</f>
        <v>15249.450549450548</v>
      </c>
      <c r="BE132" s="67">
        <f t="shared" si="11"/>
        <v>15249.450549450548</v>
      </c>
      <c r="BF132" s="67"/>
      <c r="BG132" s="66"/>
      <c r="BH132" s="68">
        <f t="shared" si="8"/>
        <v>0</v>
      </c>
      <c r="BI132" s="67"/>
      <c r="BJ132" s="1">
        <f>IF(BC132=0,"",('All Data'!Z132-'[1]DCDC Ref'!$J$28*('[1]DCDC Ref'!$J$29/100))/'[1]DCDC Ref'!$J$28*('[1]DCDC Ref'!$J$29/100)*100)</f>
        <v>-73.103448275862064</v>
      </c>
      <c r="BK132" s="68">
        <f t="shared" si="9"/>
        <v>10000</v>
      </c>
      <c r="BL132" s="68"/>
      <c r="BM132" s="68"/>
      <c r="BN132" s="68"/>
      <c r="BO132" s="68"/>
      <c r="BQ132" s="5">
        <f t="shared" si="12"/>
        <v>76297252.747252747</v>
      </c>
      <c r="BR132" s="5">
        <f>IF(BQ132="","",RANK(BQ132,BQ$11:BQ$9930,1)+COUNTIF(BQ$11:BQ132,BQ132)-1)</f>
        <v>147</v>
      </c>
      <c r="BS132" s="69">
        <f t="shared" si="10"/>
        <v>147</v>
      </c>
      <c r="BT132" s="1" t="str">
        <f>IFERROR(INDEX($O$11:$O$1013,MATCH(ROWS($BS$11:BS132),$BS$11:$BS$1005,0)),"")</f>
        <v>ETQP4M220KVC</v>
      </c>
      <c r="BU132" s="69" t="str">
        <f t="shared" si="13"/>
        <v>ETQP4M220KVC</v>
      </c>
    </row>
    <row r="133" spans="1:73" ht="15">
      <c r="A133" s="1">
        <v>29</v>
      </c>
      <c r="B133" s="28" t="s">
        <v>109</v>
      </c>
      <c r="D133" s="1" t="s">
        <v>110</v>
      </c>
      <c r="E133" s="58"/>
      <c r="F133" s="1" t="s">
        <v>111</v>
      </c>
      <c r="G133" s="2" t="s">
        <v>112</v>
      </c>
      <c r="H133" s="1" t="s">
        <v>113</v>
      </c>
      <c r="I133" s="2" t="s">
        <v>114</v>
      </c>
      <c r="J133" s="1" t="s">
        <v>115</v>
      </c>
      <c r="K133" s="1" t="s">
        <v>116</v>
      </c>
      <c r="L133" s="1" t="s">
        <v>454</v>
      </c>
      <c r="M133" s="1" t="s">
        <v>455</v>
      </c>
      <c r="N133" s="1" t="s">
        <v>154</v>
      </c>
      <c r="O133" s="59" t="s">
        <v>456</v>
      </c>
      <c r="P133" s="60" t="str">
        <f>MID(All_PCC_a[[#This Row],[Part Number]],7,3)</f>
        <v>101</v>
      </c>
      <c r="Q133" s="61">
        <v>100</v>
      </c>
      <c r="R133" s="61" t="str">
        <f>IF(All_PCC_a[[#This Row],[Lo (uH)]]&lt;1,"&lt;1",IF(All_PCC_a[[#This Row],[Lo (uH)]]&lt;10,"&lt;10",IF(All_PCC_a[[#This Row],[Lo (uH)]]&lt;100,"&lt;100",IF(All_PCC_a[[#This Row],[Lo (uH)]]&lt;2000,"&lt;2000",""))))</f>
        <v>&lt;2000</v>
      </c>
      <c r="S133" s="61" t="str">
        <f>IFERROR(VLOOKUP(All_PCC_a[[#This Row],[Lo (uH)]],[1]Utility!$D$5:$E$43,2,1),"-")</f>
        <v>≤ 100</v>
      </c>
      <c r="T133" s="111">
        <v>0.2</v>
      </c>
      <c r="U133" s="63">
        <v>302</v>
      </c>
      <c r="V133" s="63">
        <v>333</v>
      </c>
      <c r="W133" s="61">
        <v>10</v>
      </c>
      <c r="X133" s="61">
        <v>2.1</v>
      </c>
      <c r="Y133" s="61">
        <v>1.7</v>
      </c>
      <c r="Z133" s="64">
        <v>3</v>
      </c>
      <c r="AA133" s="61">
        <v>1.98</v>
      </c>
      <c r="AB133" s="1">
        <v>8.5</v>
      </c>
      <c r="AC133" s="1">
        <v>8</v>
      </c>
      <c r="AD133" s="61">
        <v>5</v>
      </c>
      <c r="AE133" s="1">
        <f>ROUND(All_PCC_a[[#This Row],[L (mm)]]*All_PCC_a[[#This Row],[W (mm)]],1)</f>
        <v>68</v>
      </c>
      <c r="AF133" s="61" t="str">
        <f>All_PCC_a[[#This Row],[L (mm)]]&amp;"  x  "&amp;All_PCC_a[[#This Row],[W (mm)]]</f>
        <v>8,5  x  8</v>
      </c>
      <c r="AG133" s="76" t="s">
        <v>171</v>
      </c>
      <c r="AH133" s="61" t="str">
        <f>IF(All_PCC_a[[#This Row],[Max Height (mm)]]&lt;=9,"≤ "&amp;ROUNDUP(AD133,0),"≤"&amp;ROUNDUP(AD133,0))</f>
        <v>≤ 5</v>
      </c>
      <c r="AI133" s="11">
        <v>-40</v>
      </c>
      <c r="AJ133" s="11">
        <v>150</v>
      </c>
      <c r="AK133" s="1" t="str">
        <f>All_PCC_a[[#This Row],[Min Temp (deg.C)]]&amp;" to +"&amp;All_PCC_a[[#This Row],[Max Temp (deg.C)]]</f>
        <v>-40 to +150</v>
      </c>
      <c r="AL133" s="1"/>
      <c r="AO133" s="61" t="s">
        <v>144</v>
      </c>
      <c r="AP133" s="61" t="str">
        <f t="shared" si="15"/>
        <v>-</v>
      </c>
      <c r="AQ133" s="61" t="s">
        <v>122</v>
      </c>
      <c r="AR133" s="61" t="s">
        <v>122</v>
      </c>
      <c r="AS133" s="1" t="s">
        <v>457</v>
      </c>
      <c r="AT133" s="1" t="s">
        <v>124</v>
      </c>
      <c r="AU133" s="1" t="e" vm="1">
        <f ca="1">_xlfn.IMAGE(All_PCC_a[[#This Row],[Image URL]])</f>
        <v>#NAME?</v>
      </c>
      <c r="AW133" s="1"/>
      <c r="AY133" s="1"/>
      <c r="BC133" s="1">
        <f>IF(Z133&lt;('[1]DCDC Ref'!$J$24/'[1]DCDC Ref'!$J$26)*'[1]DCDC Ref'!$J$28/100,0,1)</f>
        <v>1</v>
      </c>
      <c r="BD133" s="66">
        <f>IF(BC133=1000000000,"",('All Data'!Q133-'[1]DCDC Ref'!$J$30)/'[1]DCDC Ref'!$J$30*100)</f>
        <v>15724.175824175825</v>
      </c>
      <c r="BE133" s="67">
        <f t="shared" si="11"/>
        <v>15724.175824175825</v>
      </c>
      <c r="BF133" s="67"/>
      <c r="BG133" s="66"/>
      <c r="BH133" s="68">
        <f t="shared" si="8"/>
        <v>0</v>
      </c>
      <c r="BI133" s="67"/>
      <c r="BJ133" s="1">
        <f>IF(BC133=0,"",('All Data'!Z133-'[1]DCDC Ref'!$J$28*('[1]DCDC Ref'!$J$29/100))/'[1]DCDC Ref'!$J$28*('[1]DCDC Ref'!$J$29/100)*100)</f>
        <v>-73.103448275862064</v>
      </c>
      <c r="BK133" s="68">
        <f t="shared" si="9"/>
        <v>10000</v>
      </c>
      <c r="BL133" s="68"/>
      <c r="BM133" s="68"/>
      <c r="BN133" s="68"/>
      <c r="BO133" s="68"/>
      <c r="BQ133" s="5">
        <f t="shared" si="12"/>
        <v>78670879.120879129</v>
      </c>
      <c r="BR133" s="5">
        <f>IF(BQ133="","",RANK(BQ133,BQ$11:BQ$9930,1)+COUNTIF(BQ$11:BQ133,BQ133)-1)</f>
        <v>148</v>
      </c>
      <c r="BS133" s="69">
        <f t="shared" si="10"/>
        <v>148</v>
      </c>
      <c r="BT133" s="1" t="str">
        <f>IFERROR(INDEX($O$11:$O$1013,MATCH(ROWS($BS$11:BS133),$BS$11:$BS$1005,0)),"")</f>
        <v>ETQP3M220HFN</v>
      </c>
      <c r="BU133" s="69" t="str">
        <f t="shared" si="13"/>
        <v>ETQP3M220HFN</v>
      </c>
    </row>
    <row r="134" spans="1:73">
      <c r="A134" s="1">
        <v>117</v>
      </c>
      <c r="B134" s="28" t="s">
        <v>109</v>
      </c>
      <c r="C134" s="1" t="s">
        <v>146</v>
      </c>
      <c r="D134" s="1" t="s">
        <v>110</v>
      </c>
      <c r="E134" s="2"/>
      <c r="F134" s="1" t="s">
        <v>111</v>
      </c>
      <c r="G134" s="2" t="s">
        <v>112</v>
      </c>
      <c r="H134" s="1" t="s">
        <v>113</v>
      </c>
      <c r="I134" s="2" t="s">
        <v>114</v>
      </c>
      <c r="J134" s="1" t="s">
        <v>115</v>
      </c>
      <c r="K134" s="1" t="s">
        <v>134</v>
      </c>
      <c r="L134" s="1" t="s">
        <v>191</v>
      </c>
      <c r="M134" s="1" t="s">
        <v>192</v>
      </c>
      <c r="N134" s="1" t="s">
        <v>119</v>
      </c>
      <c r="O134" s="59" t="s">
        <v>458</v>
      </c>
      <c r="P134" s="60" t="str">
        <f>MID(All_PCC_a[[#This Row],[Part Number]],7,3)</f>
        <v>101</v>
      </c>
      <c r="Q134" s="61">
        <v>100</v>
      </c>
      <c r="R134" s="71" t="str">
        <f>IF(All_PCC_a[[#This Row],[Lo (uH)]]&lt;1,"&lt;1",IF(All_PCC_a[[#This Row],[Lo (uH)]]&lt;10,"&lt;10",IF(All_PCC_a[[#This Row],[Lo (uH)]]&lt;100,"&lt;100",IF(All_PCC_a[[#This Row],[Lo (uH)]]&lt;2000,"&lt;2000",""))))</f>
        <v>&lt;2000</v>
      </c>
      <c r="S134" s="61" t="str">
        <f>IFERROR(VLOOKUP(All_PCC_a[[#This Row],[Lo (uH)]],[1]Utility!$D$5:$E$43,2,1),"-")</f>
        <v>≤ 100</v>
      </c>
      <c r="T134" s="62">
        <v>0.2</v>
      </c>
      <c r="U134" s="70">
        <v>242</v>
      </c>
      <c r="V134" s="70">
        <v>266.2</v>
      </c>
      <c r="W134" s="61">
        <v>10</v>
      </c>
      <c r="X134" s="71">
        <v>2.5</v>
      </c>
      <c r="Y134" s="61">
        <v>2</v>
      </c>
      <c r="Z134" s="64">
        <v>3.5</v>
      </c>
      <c r="AA134" s="61">
        <v>2.5</v>
      </c>
      <c r="AB134" s="1">
        <v>10.7</v>
      </c>
      <c r="AC134" s="1">
        <v>10</v>
      </c>
      <c r="AD134" s="61">
        <v>4</v>
      </c>
      <c r="AE134" s="1">
        <f>ROUND(All_PCC_a[[#This Row],[L (mm)]]*All_PCC_a[[#This Row],[W (mm)]],1)</f>
        <v>107</v>
      </c>
      <c r="AF134" s="61" t="str">
        <f>All_PCC_a[[#This Row],[L (mm)]]&amp;"  x  "&amp;All_PCC_a[[#This Row],[W (mm)]]</f>
        <v>10,7  x  10</v>
      </c>
      <c r="AG134" s="65" t="s">
        <v>121</v>
      </c>
      <c r="AH134" s="61" t="str">
        <f>IF(All_PCC_a[[#This Row],[Max Height (mm)]]&lt;=9,"≤ "&amp;ROUNDUP(AD134,0),"≤"&amp;ROUNDUP(AD134,0))</f>
        <v>≤ 4</v>
      </c>
      <c r="AI134" s="1">
        <v>-55</v>
      </c>
      <c r="AJ134" s="1">
        <v>155</v>
      </c>
      <c r="AK134" s="1" t="str">
        <f>All_PCC_a[[#This Row],[Min Temp (deg.C)]]&amp;" to +"&amp;All_PCC_a[[#This Row],[Max Temp (deg.C)]]</f>
        <v>-55 to +155</v>
      </c>
      <c r="AL134" s="1"/>
      <c r="AO134" s="61" t="s">
        <v>122</v>
      </c>
      <c r="AP134" s="61" t="str">
        <f t="shared" si="15"/>
        <v>-</v>
      </c>
      <c r="AQ134" s="61" t="s">
        <v>122</v>
      </c>
      <c r="AR134" s="61" t="s">
        <v>122</v>
      </c>
      <c r="AS134" s="1" t="s">
        <v>459</v>
      </c>
      <c r="AT134" s="1" t="s">
        <v>140</v>
      </c>
      <c r="AU134" s="1" t="e" vm="1">
        <f ca="1">_xlfn.IMAGE(All_PCC_a[[#This Row],[Image URL]])</f>
        <v>#NAME?</v>
      </c>
      <c r="AW134" s="1"/>
      <c r="AY134" s="1"/>
      <c r="BC134" s="1">
        <f>IF(Z134&lt;('[1]DCDC Ref'!$J$24/'[1]DCDC Ref'!$J$26)*'[1]DCDC Ref'!$J$28/100,0,1)</f>
        <v>1</v>
      </c>
      <c r="BD134" s="66">
        <f>IF(BC134=1000000000,"",('All Data'!Q134-'[1]DCDC Ref'!$J$30)/'[1]DCDC Ref'!$J$30*100)</f>
        <v>15724.175824175825</v>
      </c>
      <c r="BE134" s="67">
        <f t="shared" si="11"/>
        <v>15724.175824175825</v>
      </c>
      <c r="BF134" s="67"/>
      <c r="BG134" s="66"/>
      <c r="BH134" s="68">
        <f t="shared" si="8"/>
        <v>0</v>
      </c>
      <c r="BI134" s="67"/>
      <c r="BJ134" s="1">
        <f>IF(BC134=0,"",('All Data'!Z134-'[1]DCDC Ref'!$J$28*('[1]DCDC Ref'!$J$29/100))/'[1]DCDC Ref'!$J$28*('[1]DCDC Ref'!$J$29/100)*100)</f>
        <v>-68.620689655172413</v>
      </c>
      <c r="BK134" s="68">
        <f t="shared" si="9"/>
        <v>10000</v>
      </c>
      <c r="BL134" s="68"/>
      <c r="BM134" s="68"/>
      <c r="BN134" s="68"/>
      <c r="BO134" s="68"/>
      <c r="BQ134" s="5">
        <f t="shared" si="12"/>
        <v>78670879.120879129</v>
      </c>
      <c r="BR134" s="5">
        <f>IF(BQ134="","",RANK(BQ134,BQ$11:BQ$9930,1)+COUNTIF(BQ$11:BQ134,BQ134)-1)</f>
        <v>149</v>
      </c>
      <c r="BS134" s="69">
        <f t="shared" si="10"/>
        <v>149</v>
      </c>
      <c r="BT134" s="1" t="str">
        <f>IFERROR(INDEX($O$11:$O$1013,MATCH(ROWS($BS$11:BS134),$BS$11:$BS$1005,0)),"")</f>
        <v>ETQP4M220KFM</v>
      </c>
      <c r="BU134" s="69" t="str">
        <f t="shared" si="13"/>
        <v>ETQP4M220KFM</v>
      </c>
    </row>
    <row r="135" spans="1:73" ht="15">
      <c r="B135" s="28" t="s">
        <v>109</v>
      </c>
      <c r="C135" s="1" t="s">
        <v>460</v>
      </c>
      <c r="D135" s="1" t="s">
        <v>110</v>
      </c>
      <c r="E135" s="2"/>
      <c r="F135" s="109" t="s">
        <v>111</v>
      </c>
      <c r="G135" s="2" t="s">
        <v>112</v>
      </c>
      <c r="H135" s="1" t="s">
        <v>113</v>
      </c>
      <c r="I135" s="2" t="s">
        <v>114</v>
      </c>
      <c r="J135" s="1" t="s">
        <v>115</v>
      </c>
      <c r="K135" s="1" t="s">
        <v>173</v>
      </c>
      <c r="L135" s="1" t="s">
        <v>174</v>
      </c>
      <c r="M135" s="1" t="s">
        <v>461</v>
      </c>
      <c r="N135" s="1" t="s">
        <v>119</v>
      </c>
      <c r="O135" s="59" t="s">
        <v>462</v>
      </c>
      <c r="P135" s="60" t="str">
        <f>MID(All_PCC_a[[#This Row],[Part Number]],7,3)</f>
        <v>220</v>
      </c>
      <c r="Q135" s="61">
        <v>20</v>
      </c>
      <c r="R135" s="71" t="str">
        <f>IF(All_PCC_a[[#This Row],[Lo (uH)]]&lt;1,"&lt;1",IF(All_PCC_a[[#This Row],[Lo (uH)]]&lt;10,"&lt;10",IF(All_PCC_a[[#This Row],[Lo (uH)]]&lt;100,"&lt;100",IF(All_PCC_a[[#This Row],[Lo (uH)]]&lt;2000,"&lt;2000",""))))</f>
        <v>&lt;100</v>
      </c>
      <c r="S135" s="61" t="str">
        <f>IFERROR(VLOOKUP(All_PCC_a[[#This Row],[Lo (uH)]],[1]Utility!$D$5:$E$43,2,1),"-")</f>
        <v>≤  20</v>
      </c>
      <c r="T135" s="72">
        <v>0.2</v>
      </c>
      <c r="U135" s="70">
        <v>45.5</v>
      </c>
      <c r="V135" s="70">
        <v>50.05</v>
      </c>
      <c r="W135" s="80">
        <v>10</v>
      </c>
      <c r="X135" s="71">
        <v>6.2</v>
      </c>
      <c r="Y135" s="61">
        <v>5.2</v>
      </c>
      <c r="Z135" s="64">
        <v>7.9</v>
      </c>
      <c r="AA135" s="61">
        <v>5.5</v>
      </c>
      <c r="AB135" s="1">
        <v>10.9</v>
      </c>
      <c r="AC135" s="1">
        <v>10</v>
      </c>
      <c r="AD135" s="61">
        <v>5.6</v>
      </c>
      <c r="AE135" s="1">
        <f>ROUND(All_PCC_a[[#This Row],[L (mm)]]*All_PCC_a[[#This Row],[W (mm)]],1)</f>
        <v>109</v>
      </c>
      <c r="AF135" s="61" t="str">
        <f>All_PCC_a[[#This Row],[L (mm)]]&amp;"  x  "&amp;All_PCC_a[[#This Row],[W (mm)]]</f>
        <v>10,9  x  10</v>
      </c>
      <c r="AG135" s="65" t="s">
        <v>121</v>
      </c>
      <c r="AH135" s="61" t="str">
        <f>IF(All_PCC_a[[#This Row],[Max Height (mm)]]&lt;=9,"≤ "&amp;ROUNDUP(AD135,0),"≤"&amp;ROUNDUP(AD135,0))</f>
        <v>≤ 6</v>
      </c>
      <c r="AI135" s="1">
        <v>-40</v>
      </c>
      <c r="AJ135" s="1">
        <v>150</v>
      </c>
      <c r="AK135" s="1" t="str">
        <f>All_PCC_a[[#This Row],[Min Temp (deg.C)]]&amp;" to +"&amp;All_PCC_a[[#This Row],[Max Temp (deg.C)]]</f>
        <v>-40 to +150</v>
      </c>
      <c r="AL135" s="1"/>
      <c r="AO135" s="61" t="s">
        <v>122</v>
      </c>
      <c r="AP135" s="71" t="str">
        <f t="shared" ref="AP135:AP144" si="16">IFERROR(IF(L1Round&gt;1,ROUND(L1Round,1),L1Round),"-")</f>
        <v>-</v>
      </c>
      <c r="AQ135" s="61" t="s">
        <v>122</v>
      </c>
      <c r="AR135" s="61" t="s">
        <v>122</v>
      </c>
      <c r="AS135" s="1" t="s">
        <v>463</v>
      </c>
      <c r="AT135" s="1" t="s">
        <v>178</v>
      </c>
      <c r="AU135" s="1" t="e" vm="1">
        <f ca="1">_xlfn.IMAGE(All_PCC_a[[#This Row],[Image URL]])</f>
        <v>#NAME?</v>
      </c>
      <c r="AW135" s="1"/>
      <c r="AY135" s="1"/>
      <c r="BC135" s="1">
        <f>IF(Z135&lt;('[1]DCDC Ref'!$J$24/'[1]DCDC Ref'!$J$26)*'[1]DCDC Ref'!$J$28/100,0,1)</f>
        <v>1</v>
      </c>
      <c r="BD135" s="66">
        <f>IF(BC135=1000000000,"",('All Data'!Q135-'[1]DCDC Ref'!$J$30)/'[1]DCDC Ref'!$J$30*100)</f>
        <v>3064.8351648351654</v>
      </c>
      <c r="BE135" s="67">
        <f t="shared" si="11"/>
        <v>3064.8351648351654</v>
      </c>
      <c r="BF135" s="67"/>
      <c r="BG135" s="66"/>
      <c r="BH135" s="68">
        <f t="shared" si="8"/>
        <v>0</v>
      </c>
      <c r="BI135" s="67"/>
      <c r="BJ135" s="1">
        <f>IF(BC135=0,"",('All Data'!Z135-'[1]DCDC Ref'!$J$28*('[1]DCDC Ref'!$J$29/100))/'[1]DCDC Ref'!$J$28*('[1]DCDC Ref'!$J$29/100)*100)</f>
        <v>-29.172413793103452</v>
      </c>
      <c r="BK135" s="68">
        <f t="shared" si="9"/>
        <v>10000</v>
      </c>
      <c r="BL135" s="68"/>
      <c r="BM135" s="68"/>
      <c r="BN135" s="68"/>
      <c r="BO135" s="68"/>
      <c r="BQ135" s="5">
        <f t="shared" si="12"/>
        <v>15374175.824175827</v>
      </c>
      <c r="BR135" s="5">
        <f>IF(BQ135="","",RANK(BQ135,BQ$11:BQ$9930,1)+COUNTIF(BQ$11:BQ135,BQ135)-1)</f>
        <v>114</v>
      </c>
      <c r="BS135" s="69">
        <f t="shared" si="10"/>
        <v>114</v>
      </c>
      <c r="BT135" s="1" t="str">
        <f>IFERROR(INDEX($O$11:$O$1013,MATCH(ROWS($BS$11:BS135),$BS$11:$BS$1005,0)),"")</f>
        <v>ETQP4M220KFN</v>
      </c>
      <c r="BU135" s="69" t="str">
        <f t="shared" si="13"/>
        <v>ETQP4M220KFN</v>
      </c>
    </row>
    <row r="136" spans="1:73" ht="15">
      <c r="B136" s="28" t="s">
        <v>109</v>
      </c>
      <c r="C136" s="1" t="s">
        <v>460</v>
      </c>
      <c r="D136" s="1" t="s">
        <v>110</v>
      </c>
      <c r="E136" s="2"/>
      <c r="F136" s="109" t="s">
        <v>111</v>
      </c>
      <c r="G136" s="2" t="s">
        <v>112</v>
      </c>
      <c r="H136" s="1" t="s">
        <v>113</v>
      </c>
      <c r="I136" s="2" t="s">
        <v>114</v>
      </c>
      <c r="J136" s="1" t="s">
        <v>115</v>
      </c>
      <c r="K136" s="1" t="s">
        <v>173</v>
      </c>
      <c r="L136" s="1" t="s">
        <v>174</v>
      </c>
      <c r="M136" s="1" t="s">
        <v>464</v>
      </c>
      <c r="N136" s="1" t="s">
        <v>119</v>
      </c>
      <c r="O136" s="59" t="s">
        <v>465</v>
      </c>
      <c r="P136" s="60" t="str">
        <f>MID(All_PCC_a[[#This Row],[Part Number]],7,3)</f>
        <v>470</v>
      </c>
      <c r="Q136" s="61">
        <v>44</v>
      </c>
      <c r="R136" s="71" t="str">
        <f>IF(All_PCC_a[[#This Row],[Lo (uH)]]&lt;1,"&lt;1",IF(All_PCC_a[[#This Row],[Lo (uH)]]&lt;10,"&lt;10",IF(All_PCC_a[[#This Row],[Lo (uH)]]&lt;100,"&lt;100",IF(All_PCC_a[[#This Row],[Lo (uH)]]&lt;2000,"&lt;2000",""))))</f>
        <v>&lt;100</v>
      </c>
      <c r="S136" s="61" t="str">
        <f>IFERROR(VLOOKUP(All_PCC_a[[#This Row],[Lo (uH)]],[1]Utility!$D$5:$E$43,2,1),"-")</f>
        <v>≤  50</v>
      </c>
      <c r="T136" s="72">
        <v>0.2</v>
      </c>
      <c r="U136" s="70">
        <v>102</v>
      </c>
      <c r="V136" s="70">
        <v>112.2</v>
      </c>
      <c r="W136" s="80">
        <v>10</v>
      </c>
      <c r="X136" s="71">
        <v>4.0999999999999996</v>
      </c>
      <c r="Y136" s="61">
        <v>3.4</v>
      </c>
      <c r="Z136" s="64">
        <v>5.6</v>
      </c>
      <c r="AA136" s="61">
        <v>4.5</v>
      </c>
      <c r="AB136" s="1">
        <v>10.9</v>
      </c>
      <c r="AC136" s="1">
        <v>10</v>
      </c>
      <c r="AD136" s="61">
        <v>5.4</v>
      </c>
      <c r="AE136" s="1">
        <f>ROUND(All_PCC_a[[#This Row],[L (mm)]]*All_PCC_a[[#This Row],[W (mm)]],1)</f>
        <v>109</v>
      </c>
      <c r="AF136" s="61" t="str">
        <f>All_PCC_a[[#This Row],[L (mm)]]&amp;"  x  "&amp;All_PCC_a[[#This Row],[W (mm)]]</f>
        <v>10,9  x  10</v>
      </c>
      <c r="AG136" s="65" t="s">
        <v>121</v>
      </c>
      <c r="AH136" s="61" t="str">
        <f>IF(All_PCC_a[[#This Row],[Max Height (mm)]]&lt;=9,"≤ "&amp;ROUNDUP(AD136,0),"≤"&amp;ROUNDUP(AD136,0))</f>
        <v>≤ 6</v>
      </c>
      <c r="AI136" s="1">
        <v>-40</v>
      </c>
      <c r="AJ136" s="1">
        <v>150</v>
      </c>
      <c r="AK136" s="1" t="str">
        <f>All_PCC_a[[#This Row],[Min Temp (deg.C)]]&amp;" to +"&amp;All_PCC_a[[#This Row],[Max Temp (deg.C)]]</f>
        <v>-40 to +150</v>
      </c>
      <c r="AL136" s="1"/>
      <c r="AO136" s="61" t="s">
        <v>122</v>
      </c>
      <c r="AP136" s="71" t="str">
        <f t="shared" si="16"/>
        <v>-</v>
      </c>
      <c r="AQ136" s="61" t="s">
        <v>122</v>
      </c>
      <c r="AR136" s="61" t="s">
        <v>122</v>
      </c>
      <c r="AS136" s="1" t="s">
        <v>466</v>
      </c>
      <c r="AT136" s="1" t="s">
        <v>178</v>
      </c>
      <c r="AU136" s="1" t="e" vm="1">
        <f ca="1">_xlfn.IMAGE(All_PCC_a[[#This Row],[Image URL]])</f>
        <v>#NAME?</v>
      </c>
      <c r="AW136" s="1"/>
      <c r="AY136" s="1"/>
      <c r="BC136" s="1">
        <f>IF(Z136&lt;('[1]DCDC Ref'!$J$24/'[1]DCDC Ref'!$J$26)*'[1]DCDC Ref'!$J$28/100,0,1)</f>
        <v>1</v>
      </c>
      <c r="BD136" s="66">
        <f>IF(BC136=1000000000,"",('All Data'!Q136-'[1]DCDC Ref'!$J$30)/'[1]DCDC Ref'!$J$30*100)</f>
        <v>6862.6373626373634</v>
      </c>
      <c r="BE136" s="67">
        <f t="shared" si="11"/>
        <v>6862.6373626373634</v>
      </c>
      <c r="BF136" s="67"/>
      <c r="BG136" s="66"/>
      <c r="BH136" s="68">
        <f t="shared" si="8"/>
        <v>0</v>
      </c>
      <c r="BI136" s="67"/>
      <c r="BJ136" s="1">
        <f>IF(BC136=0,"",('All Data'!Z136-'[1]DCDC Ref'!$J$28*('[1]DCDC Ref'!$J$29/100))/'[1]DCDC Ref'!$J$28*('[1]DCDC Ref'!$J$29/100)*100)</f>
        <v>-49.793103448275872</v>
      </c>
      <c r="BK136" s="68">
        <f t="shared" si="9"/>
        <v>10000</v>
      </c>
      <c r="BL136" s="68"/>
      <c r="BM136" s="68"/>
      <c r="BN136" s="68"/>
      <c r="BO136" s="68"/>
      <c r="BQ136" s="5">
        <f t="shared" si="12"/>
        <v>34363186.813186817</v>
      </c>
      <c r="BR136" s="5">
        <f>IF(BQ136="","",RANK(BQ136,BQ$11:BQ$9930,1)+COUNTIF(BQ$11:BQ136,BQ136)-1)</f>
        <v>134</v>
      </c>
      <c r="BS136" s="69">
        <f t="shared" si="10"/>
        <v>134</v>
      </c>
      <c r="BT136" s="1" t="str">
        <f>IFERROR(INDEX($O$11:$O$1013,MATCH(ROWS($BS$11:BS136),$BS$11:$BS$1005,0)),"")</f>
        <v>ETQP3M220KVP</v>
      </c>
      <c r="BU136" s="69" t="str">
        <f t="shared" si="13"/>
        <v>ETQP3M220KVP</v>
      </c>
    </row>
    <row r="137" spans="1:73" ht="15">
      <c r="B137" s="28" t="s">
        <v>109</v>
      </c>
      <c r="C137" s="1" t="s">
        <v>467</v>
      </c>
      <c r="D137" s="1" t="s">
        <v>110</v>
      </c>
      <c r="E137" s="2"/>
      <c r="F137" s="109" t="s">
        <v>111</v>
      </c>
      <c r="G137" s="2" t="s">
        <v>112</v>
      </c>
      <c r="H137" s="1" t="s">
        <v>113</v>
      </c>
      <c r="I137" s="2" t="s">
        <v>114</v>
      </c>
      <c r="J137" s="1" t="s">
        <v>115</v>
      </c>
      <c r="K137" s="1" t="s">
        <v>173</v>
      </c>
      <c r="L137" s="1" t="s">
        <v>174</v>
      </c>
      <c r="M137" s="1" t="s">
        <v>468</v>
      </c>
      <c r="N137" s="1" t="s">
        <v>119</v>
      </c>
      <c r="O137" s="59" t="s">
        <v>469</v>
      </c>
      <c r="P137" s="60" t="str">
        <f>MID(All_PCC_a[[#This Row],[Part Number]],7,3)</f>
        <v>2R5</v>
      </c>
      <c r="Q137" s="61">
        <v>2.5</v>
      </c>
      <c r="R137" s="71" t="str">
        <f>IF(All_PCC_a[[#This Row],[Lo (uH)]]&lt;1,"&lt;1",IF(All_PCC_a[[#This Row],[Lo (uH)]]&lt;10,"&lt;10",IF(All_PCC_a[[#This Row],[Lo (uH)]]&lt;100,"&lt;100",IF(All_PCC_a[[#This Row],[Lo (uH)]]&lt;2000,"&lt;2000",""))))</f>
        <v>&lt;10</v>
      </c>
      <c r="S137" s="61" t="str">
        <f>IFERROR(VLOOKUP(All_PCC_a[[#This Row],[Lo (uH)]],[1]Utility!$D$5:$E$43,2,1),"-")</f>
        <v>≤   3</v>
      </c>
      <c r="T137" s="72">
        <v>0.2</v>
      </c>
      <c r="U137" s="70">
        <v>4.4800000000000004</v>
      </c>
      <c r="V137" s="70">
        <v>4.93</v>
      </c>
      <c r="W137" s="80">
        <v>10</v>
      </c>
      <c r="X137" s="71">
        <v>19.7</v>
      </c>
      <c r="Y137" s="61">
        <v>16.399999999999999</v>
      </c>
      <c r="Z137" s="64">
        <v>23.7</v>
      </c>
      <c r="AA137" s="61">
        <v>16.600000000000001</v>
      </c>
      <c r="AB137" s="1">
        <v>10.9</v>
      </c>
      <c r="AC137" s="1">
        <v>10</v>
      </c>
      <c r="AD137" s="61">
        <v>6</v>
      </c>
      <c r="AE137" s="1">
        <f>ROUND(All_PCC_a[[#This Row],[L (mm)]]*All_PCC_a[[#This Row],[W (mm)]],1)</f>
        <v>109</v>
      </c>
      <c r="AF137" s="61" t="str">
        <f>All_PCC_a[[#This Row],[L (mm)]]&amp;"  x  "&amp;All_PCC_a[[#This Row],[W (mm)]]</f>
        <v>10,9  x  10</v>
      </c>
      <c r="AG137" s="65" t="s">
        <v>150</v>
      </c>
      <c r="AH137" s="61" t="str">
        <f>IF(All_PCC_a[[#This Row],[Max Height (mm)]]&lt;=9,"≤ "&amp;ROUNDUP(AD137,0),"≤"&amp;ROUNDUP(AD137,0))</f>
        <v>≤ 6</v>
      </c>
      <c r="AI137" s="1">
        <v>-40</v>
      </c>
      <c r="AJ137" s="1">
        <v>150</v>
      </c>
      <c r="AK137" s="1" t="str">
        <f>All_PCC_a[[#This Row],[Min Temp (deg.C)]]&amp;" to +"&amp;All_PCC_a[[#This Row],[Max Temp (deg.C)]]</f>
        <v>-40 to +150</v>
      </c>
      <c r="AL137" s="1"/>
      <c r="AO137" s="61" t="s">
        <v>122</v>
      </c>
      <c r="AP137" s="71" t="str">
        <f t="shared" si="16"/>
        <v>-</v>
      </c>
      <c r="AQ137" s="61" t="s">
        <v>122</v>
      </c>
      <c r="AR137" s="61" t="s">
        <v>122</v>
      </c>
      <c r="AS137" s="1" t="s">
        <v>470</v>
      </c>
      <c r="AT137" s="1" t="s">
        <v>178</v>
      </c>
      <c r="AU137" s="1" t="e" vm="1">
        <f ca="1">_xlfn.IMAGE(All_PCC_a[[#This Row],[Image URL]])</f>
        <v>#NAME?</v>
      </c>
      <c r="AW137" s="1"/>
      <c r="AY137" s="1"/>
      <c r="BC137" s="1">
        <f>IF(Z137&lt;('[1]DCDC Ref'!$J$24/'[1]DCDC Ref'!$J$26)*'[1]DCDC Ref'!$J$28/100,0,1)</f>
        <v>1</v>
      </c>
      <c r="BD137" s="66">
        <f>IF(BC137=1000000000,"",('All Data'!Q137-'[1]DCDC Ref'!$J$30)/'[1]DCDC Ref'!$J$30*100)</f>
        <v>295.60439560439562</v>
      </c>
      <c r="BE137" s="67">
        <f t="shared" si="11"/>
        <v>295.60439560439562</v>
      </c>
      <c r="BF137" s="67"/>
      <c r="BG137" s="66"/>
      <c r="BH137" s="68">
        <f t="shared" si="8"/>
        <v>0</v>
      </c>
      <c r="BI137" s="67"/>
      <c r="BJ137" s="1">
        <f>IF(BC137=0,"",('All Data'!Z137-'[1]DCDC Ref'!$J$28*('[1]DCDC Ref'!$J$29/100))/'[1]DCDC Ref'!$J$28*('[1]DCDC Ref'!$J$29/100)*100)</f>
        <v>112.48275862068962</v>
      </c>
      <c r="BK137" s="68">
        <f t="shared" si="9"/>
        <v>112.48275862068962</v>
      </c>
      <c r="BL137" s="68"/>
      <c r="BM137" s="68"/>
      <c r="BN137" s="68"/>
      <c r="BO137" s="68"/>
      <c r="BQ137" s="5">
        <f t="shared" si="12"/>
        <v>1478584.3918150817</v>
      </c>
      <c r="BR137" s="5">
        <f>IF(BQ137="","",RANK(BQ137,BQ$11:BQ$9930,1)+COUNTIF(BQ$11:BQ137,BQ137)-1)</f>
        <v>51</v>
      </c>
      <c r="BS137" s="69">
        <f t="shared" si="10"/>
        <v>51</v>
      </c>
      <c r="BT137" s="1" t="str">
        <f>IFERROR(INDEX($O$11:$O$1013,MATCH(ROWS($BS$11:BS137),$BS$11:$BS$1005,0)),"")</f>
        <v>ETQP4M330YFN</v>
      </c>
      <c r="BU137" s="69" t="str">
        <f t="shared" si="13"/>
        <v>ETQP4M330YFN</v>
      </c>
    </row>
    <row r="138" spans="1:73">
      <c r="B138" s="28" t="s">
        <v>109</v>
      </c>
      <c r="D138" s="1" t="s">
        <v>110</v>
      </c>
      <c r="E138" s="2"/>
      <c r="F138" s="105" t="s">
        <v>111</v>
      </c>
      <c r="G138" s="2" t="s">
        <v>112</v>
      </c>
      <c r="H138" s="1" t="s">
        <v>113</v>
      </c>
      <c r="I138" s="2" t="s">
        <v>114</v>
      </c>
      <c r="J138" s="1" t="s">
        <v>115</v>
      </c>
      <c r="K138" s="1" t="s">
        <v>126</v>
      </c>
      <c r="L138" s="1" t="s">
        <v>471</v>
      </c>
      <c r="M138" s="1" t="s">
        <v>472</v>
      </c>
      <c r="N138" s="1" t="s">
        <v>119</v>
      </c>
      <c r="O138" s="59" t="s">
        <v>473</v>
      </c>
      <c r="P138" s="60" t="str">
        <f>MID(All_PCC_a[[#This Row],[Part Number]],7,3)</f>
        <v>R33</v>
      </c>
      <c r="Q138" s="61">
        <v>0.33</v>
      </c>
      <c r="R138" s="71" t="str">
        <f>IF(All_PCC_a[[#This Row],[Lo (uH)]]&lt;1,"&lt;1",IF(All_PCC_a[[#This Row],[Lo (uH)]]&lt;10,"&lt;10",IF(All_PCC_a[[#This Row],[Lo (uH)]]&lt;100,"&lt;100",IF(All_PCC_a[[#This Row],[Lo (uH)]]&lt;2000,"&lt;2000",""))))</f>
        <v>&lt;1</v>
      </c>
      <c r="S138" s="61" t="str">
        <f>IFERROR(VLOOKUP(All_PCC_a[[#This Row],[Lo (uH)]],[1]Utility!$D$5:$E$43,2,1),"-")</f>
        <v>≤    0.4</v>
      </c>
      <c r="T138" s="72">
        <v>0.2</v>
      </c>
      <c r="U138" s="70">
        <v>0.42</v>
      </c>
      <c r="V138" s="70">
        <v>0.48</v>
      </c>
      <c r="W138" s="80">
        <v>10</v>
      </c>
      <c r="X138" s="71">
        <v>83</v>
      </c>
      <c r="Y138" s="61">
        <v>69</v>
      </c>
      <c r="Z138" s="64">
        <v>103</v>
      </c>
      <c r="AA138" s="61">
        <v>75</v>
      </c>
      <c r="AB138" s="1">
        <v>15.6</v>
      </c>
      <c r="AC138" s="1">
        <v>17.2</v>
      </c>
      <c r="AD138" s="61">
        <v>10.5</v>
      </c>
      <c r="AE138" s="1">
        <f>ROUND(All_PCC_a[[#This Row],[L (mm)]]*All_PCC_a[[#This Row],[W (mm)]],1)</f>
        <v>268.3</v>
      </c>
      <c r="AF138" s="61" t="str">
        <f>All_PCC_a[[#This Row],[L (mm)]]&amp;"  x  "&amp;All_PCC_a[[#This Row],[W (mm)]]</f>
        <v>15,6  x  17,2</v>
      </c>
      <c r="AG138" s="65" t="s">
        <v>474</v>
      </c>
      <c r="AH138" s="71" t="str">
        <f>IF(All_PCC_a[[#This Row],[Max Height (mm)]]&lt;=9,"≤ "&amp;ROUNDUP(AD138,0),"≤"&amp;ROUNDUP(AD138,0))</f>
        <v>≤11</v>
      </c>
      <c r="AI138" s="1">
        <v>-40</v>
      </c>
      <c r="AJ138" s="1">
        <v>160</v>
      </c>
      <c r="AK138" s="1" t="str">
        <f>All_PCC_a[[#This Row],[Min Temp (deg.C)]]&amp;" to +"&amp;All_PCC_a[[#This Row],[Max Temp (deg.C)]]</f>
        <v>-40 to +160</v>
      </c>
      <c r="AL138" s="1"/>
      <c r="AO138" s="61" t="s">
        <v>122</v>
      </c>
      <c r="AP138" s="71" t="str">
        <f t="shared" si="16"/>
        <v>-</v>
      </c>
      <c r="AQ138" s="61" t="s">
        <v>122</v>
      </c>
      <c r="AR138" s="61" t="s">
        <v>122</v>
      </c>
      <c r="AS138" s="1" t="s">
        <v>475</v>
      </c>
      <c r="AT138" s="1" t="s">
        <v>133</v>
      </c>
      <c r="AU138" s="1" t="e" vm="1">
        <f ca="1">_xlfn.IMAGE(All_PCC_a[[#This Row],[Image URL]])</f>
        <v>#NAME?</v>
      </c>
      <c r="AW138" s="1"/>
      <c r="AY138" s="1"/>
      <c r="BC138" s="1">
        <f>IF(Z138&lt;('[1]DCDC Ref'!$J$24/'[1]DCDC Ref'!$J$26)*'[1]DCDC Ref'!$J$28/100,0,1)</f>
        <v>1</v>
      </c>
      <c r="BD138" s="66">
        <f>IF(BC138=1000000000,"",('All Data'!Q138-'[1]DCDC Ref'!$J$30)/'[1]DCDC Ref'!$J$30*100)</f>
        <v>-47.780219780219774</v>
      </c>
      <c r="BE138" s="67">
        <f t="shared" si="11"/>
        <v>47.780219780219774</v>
      </c>
      <c r="BF138" s="67"/>
      <c r="BG138" s="66"/>
      <c r="BH138" s="68">
        <f t="shared" si="8"/>
        <v>0</v>
      </c>
      <c r="BI138" s="67"/>
      <c r="BJ138" s="1">
        <f>IF(BC138=0,"",('All Data'!Z138-'[1]DCDC Ref'!$J$28*('[1]DCDC Ref'!$J$29/100))/'[1]DCDC Ref'!$J$28*('[1]DCDC Ref'!$J$29/100)*100)</f>
        <v>823.44827586206884</v>
      </c>
      <c r="BK138" s="68">
        <f t="shared" si="9"/>
        <v>823.44827586206884</v>
      </c>
      <c r="BL138" s="68"/>
      <c r="BM138" s="68"/>
      <c r="BN138" s="68"/>
      <c r="BO138" s="68"/>
      <c r="BQ138" s="5">
        <f t="shared" si="12"/>
        <v>243018.3402804092</v>
      </c>
      <c r="BR138" s="5">
        <f>IF(BQ138="","",RANK(BQ138,BQ$11:BQ$9930,1)+COUNTIF(BQ$11:BQ138,BQ138)-1)</f>
        <v>18</v>
      </c>
      <c r="BS138" s="69">
        <f t="shared" si="10"/>
        <v>18</v>
      </c>
      <c r="BT138" s="1" t="str">
        <f>IFERROR(INDEX($O$11:$O$1013,MATCH(ROWS($BS$11:BS138),$BS$11:$BS$1005,0)),"")</f>
        <v>ETQP5M330YFC</v>
      </c>
      <c r="BU138" s="69" t="str">
        <f t="shared" si="13"/>
        <v>ETQP5M330YFC</v>
      </c>
    </row>
    <row r="139" spans="1:73">
      <c r="B139" s="28" t="s">
        <v>109</v>
      </c>
      <c r="C139" s="1" t="s">
        <v>476</v>
      </c>
      <c r="D139" s="1" t="s">
        <v>110</v>
      </c>
      <c r="E139" s="2"/>
      <c r="F139" s="1" t="s">
        <v>111</v>
      </c>
      <c r="G139" s="2" t="s">
        <v>112</v>
      </c>
      <c r="H139" s="1" t="s">
        <v>113</v>
      </c>
      <c r="I139" s="2" t="s">
        <v>114</v>
      </c>
      <c r="J139" s="1" t="s">
        <v>115</v>
      </c>
      <c r="K139" s="1" t="s">
        <v>126</v>
      </c>
      <c r="L139" s="1" t="s">
        <v>471</v>
      </c>
      <c r="M139" s="1" t="s">
        <v>472</v>
      </c>
      <c r="N139" s="1" t="s">
        <v>119</v>
      </c>
      <c r="O139" s="59" t="s">
        <v>477</v>
      </c>
      <c r="P139" s="60" t="str">
        <f>MID(All_PCC_a[[#This Row],[Part Number]],7,3)</f>
        <v>R68</v>
      </c>
      <c r="Q139" s="61">
        <v>0.68</v>
      </c>
      <c r="R139" s="71" t="str">
        <f>IF(All_PCC_a[[#This Row],[Lo (uH)]]&lt;1,"&lt;1",IF(All_PCC_a[[#This Row],[Lo (uH)]]&lt;10,"&lt;10",IF(All_PCC_a[[#This Row],[Lo (uH)]]&lt;100,"&lt;100",IF(All_PCC_a[[#This Row],[Lo (uH)]]&lt;2000,"&lt;2000",""))))</f>
        <v>&lt;1</v>
      </c>
      <c r="S139" s="61" t="str">
        <f>IFERROR(VLOOKUP(All_PCC_a[[#This Row],[Lo (uH)]],[1]Utility!$D$5:$E$43,2,1),"-")</f>
        <v>≤    0.7</v>
      </c>
      <c r="T139" s="72">
        <v>0.2</v>
      </c>
      <c r="U139" s="70">
        <v>0.7</v>
      </c>
      <c r="V139" s="70">
        <v>0.77</v>
      </c>
      <c r="W139" s="80">
        <v>10</v>
      </c>
      <c r="X139" s="71">
        <v>65</v>
      </c>
      <c r="Y139" s="61">
        <v>53</v>
      </c>
      <c r="Z139" s="64">
        <v>71</v>
      </c>
      <c r="AA139" s="61">
        <v>51</v>
      </c>
      <c r="AB139" s="1">
        <v>15.6</v>
      </c>
      <c r="AC139" s="1">
        <v>17.2</v>
      </c>
      <c r="AD139" s="61">
        <v>10.5</v>
      </c>
      <c r="AE139" s="1">
        <f>ROUND(All_PCC_a[[#This Row],[L (mm)]]*All_PCC_a[[#This Row],[W (mm)]],1)</f>
        <v>268.3</v>
      </c>
      <c r="AF139" s="61" t="str">
        <f>All_PCC_a[[#This Row],[L (mm)]]&amp;"  x  "&amp;All_PCC_a[[#This Row],[W (mm)]]</f>
        <v>15,6  x  17,2</v>
      </c>
      <c r="AG139" s="65" t="s">
        <v>474</v>
      </c>
      <c r="AH139" s="71" t="str">
        <f>IF(All_PCC_a[[#This Row],[Max Height (mm)]]&lt;=9,"≤ "&amp;ROUNDUP(AD139,0),"≤"&amp;ROUNDUP(AD139,0))</f>
        <v>≤11</v>
      </c>
      <c r="AI139" s="1">
        <v>-40</v>
      </c>
      <c r="AJ139" s="1">
        <v>160</v>
      </c>
      <c r="AK139" s="1" t="str">
        <f>All_PCC_a[[#This Row],[Min Temp (deg.C)]]&amp;" to +"&amp;All_PCC_a[[#This Row],[Max Temp (deg.C)]]</f>
        <v>-40 to +160</v>
      </c>
      <c r="AL139" s="1"/>
      <c r="AO139" s="61" t="s">
        <v>122</v>
      </c>
      <c r="AP139" s="71" t="str">
        <f t="shared" si="16"/>
        <v>-</v>
      </c>
      <c r="AQ139" s="61" t="s">
        <v>122</v>
      </c>
      <c r="AR139" s="61" t="s">
        <v>122</v>
      </c>
      <c r="AS139" s="1" t="s">
        <v>478</v>
      </c>
      <c r="AT139" s="1" t="s">
        <v>133</v>
      </c>
      <c r="AU139" s="1" t="e" vm="1">
        <f ca="1">_xlfn.IMAGE(All_PCC_a[[#This Row],[Image URL]])</f>
        <v>#NAME?</v>
      </c>
      <c r="AW139" s="1"/>
      <c r="AY139" s="1"/>
      <c r="BC139" s="1">
        <f>IF(Z139&lt;('[1]DCDC Ref'!$J$24/'[1]DCDC Ref'!$J$26)*'[1]DCDC Ref'!$J$28/100,0,1)</f>
        <v>1</v>
      </c>
      <c r="BD139" s="66">
        <f>IF(BC139=1000000000,"",('All Data'!Q139-'[1]DCDC Ref'!$J$30)/'[1]DCDC Ref'!$J$30*100)</f>
        <v>7.6043956043956165</v>
      </c>
      <c r="BE139" s="67">
        <f t="shared" si="11"/>
        <v>7.6043956043956165</v>
      </c>
      <c r="BF139" s="67"/>
      <c r="BG139" s="66"/>
      <c r="BH139" s="68">
        <f t="shared" ref="BH139:BH202" si="17">IF(BG139&lt;0,10000,BG139)</f>
        <v>0</v>
      </c>
      <c r="BI139" s="67"/>
      <c r="BJ139" s="1">
        <f>IF(BC139=0,"",('All Data'!Z139-'[1]DCDC Ref'!$J$28*('[1]DCDC Ref'!$J$29/100))/'[1]DCDC Ref'!$J$28*('[1]DCDC Ref'!$J$29/100)*100)</f>
        <v>536.55172413793105</v>
      </c>
      <c r="BK139" s="68">
        <f t="shared" ref="BK139:BK202" si="18">IF(BJ139&lt;0,10000,BJ139)</f>
        <v>536.55172413793105</v>
      </c>
      <c r="BL139" s="68"/>
      <c r="BM139" s="68"/>
      <c r="BN139" s="68"/>
      <c r="BO139" s="68"/>
      <c r="BQ139" s="5">
        <f t="shared" si="12"/>
        <v>40704.736642667733</v>
      </c>
      <c r="BR139" s="5">
        <f>IF(BQ139="","",RANK(BQ139,BQ$11:BQ$9930,1)+COUNTIF(BQ$11:BQ139,BQ139)-1)</f>
        <v>8</v>
      </c>
      <c r="BS139" s="69">
        <f t="shared" ref="BS139:BS160" si="19">RANK(BR139,BR$11:BR$9930,1)</f>
        <v>8</v>
      </c>
      <c r="BT139" s="1" t="str">
        <f>IFERROR(INDEX($O$11:$O$1013,MATCH(ROWS($BS$11:BS139),$BS$11:$BS$1005,0)),"")</f>
        <v>ETQP5M330YFM</v>
      </c>
      <c r="BU139" s="69" t="str">
        <f t="shared" si="13"/>
        <v>ETQP5M330YFM</v>
      </c>
    </row>
    <row r="140" spans="1:73" ht="15">
      <c r="B140" s="28" t="s">
        <v>109</v>
      </c>
      <c r="C140" s="1" t="s">
        <v>479</v>
      </c>
      <c r="D140" s="1" t="s">
        <v>110</v>
      </c>
      <c r="E140" s="2"/>
      <c r="F140" s="109" t="s">
        <v>111</v>
      </c>
      <c r="G140" s="2" t="s">
        <v>112</v>
      </c>
      <c r="H140" s="1" t="s">
        <v>113</v>
      </c>
      <c r="I140" s="2" t="s">
        <v>114</v>
      </c>
      <c r="J140" s="1" t="s">
        <v>115</v>
      </c>
      <c r="K140" s="1" t="s">
        <v>126</v>
      </c>
      <c r="L140" s="1" t="s">
        <v>471</v>
      </c>
      <c r="M140" s="1" t="s">
        <v>472</v>
      </c>
      <c r="N140" s="1" t="s">
        <v>119</v>
      </c>
      <c r="O140" s="59" t="s">
        <v>480</v>
      </c>
      <c r="P140" s="60" t="str">
        <f>MID(All_PCC_a[[#This Row],[Part Number]],7,3)</f>
        <v>1R0</v>
      </c>
      <c r="Q140" s="61">
        <v>1</v>
      </c>
      <c r="R140" s="71" t="str">
        <f>IF(All_PCC_a[[#This Row],[Lo (uH)]]&lt;1,"&lt;1",IF(All_PCC_a[[#This Row],[Lo (uH)]]&lt;10,"&lt;10",IF(All_PCC_a[[#This Row],[Lo (uH)]]&lt;100,"&lt;100",IF(All_PCC_a[[#This Row],[Lo (uH)]]&lt;2000,"&lt;2000",""))))</f>
        <v>&lt;10</v>
      </c>
      <c r="S140" s="61" t="str">
        <f>IFERROR(VLOOKUP(All_PCC_a[[#This Row],[Lo (uH)]],[1]Utility!$D$5:$E$43,2,1),"-")</f>
        <v>≤   1</v>
      </c>
      <c r="T140" s="72">
        <v>0.2</v>
      </c>
      <c r="U140" s="70">
        <v>0.88</v>
      </c>
      <c r="V140" s="70">
        <v>0.97</v>
      </c>
      <c r="W140" s="80">
        <v>10</v>
      </c>
      <c r="X140" s="71">
        <v>57</v>
      </c>
      <c r="Y140" s="61">
        <v>47</v>
      </c>
      <c r="Z140" s="64">
        <v>52</v>
      </c>
      <c r="AA140" s="61">
        <v>36.200000000000003</v>
      </c>
      <c r="AB140" s="1">
        <v>15.6</v>
      </c>
      <c r="AC140" s="1">
        <v>17.2</v>
      </c>
      <c r="AD140" s="61">
        <v>10.5</v>
      </c>
      <c r="AE140" s="1">
        <f>ROUND(All_PCC_a[[#This Row],[L (mm)]]*All_PCC_a[[#This Row],[W (mm)]],1)</f>
        <v>268.3</v>
      </c>
      <c r="AF140" s="61" t="str">
        <f>All_PCC_a[[#This Row],[L (mm)]]&amp;"  x  "&amp;All_PCC_a[[#This Row],[W (mm)]]</f>
        <v>15,6  x  17,2</v>
      </c>
      <c r="AG140" s="65" t="s">
        <v>474</v>
      </c>
      <c r="AH140" s="71" t="str">
        <f>IF(All_PCC_a[[#This Row],[Max Height (mm)]]&lt;=9,"≤ "&amp;ROUNDUP(AD140,0),"≤"&amp;ROUNDUP(AD140,0))</f>
        <v>≤11</v>
      </c>
      <c r="AI140" s="1">
        <v>-40</v>
      </c>
      <c r="AJ140" s="1">
        <v>160</v>
      </c>
      <c r="AK140" s="1" t="str">
        <f>All_PCC_a[[#This Row],[Min Temp (deg.C)]]&amp;" to +"&amp;All_PCC_a[[#This Row],[Max Temp (deg.C)]]</f>
        <v>-40 to +160</v>
      </c>
      <c r="AL140" s="1"/>
      <c r="AO140" s="61" t="s">
        <v>122</v>
      </c>
      <c r="AP140" s="71" t="str">
        <f t="shared" si="16"/>
        <v>-</v>
      </c>
      <c r="AQ140" s="61" t="s">
        <v>122</v>
      </c>
      <c r="AR140" s="61" t="s">
        <v>122</v>
      </c>
      <c r="AS140" s="1" t="s">
        <v>481</v>
      </c>
      <c r="AT140" s="1" t="s">
        <v>482</v>
      </c>
      <c r="AU140" s="1" t="e" vm="1">
        <f ca="1">_xlfn.IMAGE(All_PCC_a[[#This Row],[Image URL]])</f>
        <v>#NAME?</v>
      </c>
      <c r="AW140" s="1"/>
      <c r="AY140" s="1"/>
      <c r="BC140" s="1">
        <f>IF(Z140&lt;('[1]DCDC Ref'!$J$24/'[1]DCDC Ref'!$J$26)*'[1]DCDC Ref'!$J$28/100,0,1)</f>
        <v>1</v>
      </c>
      <c r="BD140" s="66">
        <f>IF(BC140=1000000000,"",('All Data'!Q140-'[1]DCDC Ref'!$J$30)/'[1]DCDC Ref'!$J$30*100)</f>
        <v>58.241758241758248</v>
      </c>
      <c r="BE140" s="67">
        <f t="shared" ref="BE140:BE160" si="20">ABS(BD140)</f>
        <v>58.241758241758248</v>
      </c>
      <c r="BF140" s="67"/>
      <c r="BG140" s="66"/>
      <c r="BH140" s="68">
        <f t="shared" si="17"/>
        <v>0</v>
      </c>
      <c r="BI140" s="67"/>
      <c r="BJ140" s="1">
        <f>IF(BC140=0,"",('All Data'!Z140-'[1]DCDC Ref'!$J$28*('[1]DCDC Ref'!$J$29/100))/'[1]DCDC Ref'!$J$28*('[1]DCDC Ref'!$J$29/100)*100)</f>
        <v>366.20689655172407</v>
      </c>
      <c r="BK140" s="68">
        <f t="shared" si="18"/>
        <v>366.20689655172407</v>
      </c>
      <c r="BL140" s="68"/>
      <c r="BM140" s="68"/>
      <c r="BN140" s="68"/>
      <c r="BO140" s="68"/>
      <c r="BQ140" s="5">
        <f t="shared" ref="BQ140:BQ160" si="21">IFERROR(BE140*$BP$6+BK140*$BP$7,"")</f>
        <v>293039.82569154986</v>
      </c>
      <c r="BR140" s="5">
        <f>IF(BQ140="","",RANK(BQ140,BQ$11:BQ$9930,1)+COUNTIF(BQ$11:BQ140,BQ140)-1)</f>
        <v>26</v>
      </c>
      <c r="BS140" s="69">
        <f t="shared" si="19"/>
        <v>26</v>
      </c>
      <c r="BT140" s="1" t="str">
        <f>IFERROR(INDEX($O$11:$O$1013,MATCH(ROWS($BS$11:BS140),$BS$11:$BS$1005,0)),"")</f>
        <v>ETQP3M330KVN</v>
      </c>
      <c r="BU140" s="69" t="str">
        <f t="shared" ref="BU140:BU160" si="22">IF(BT140&lt;&gt;"",BT140,"")</f>
        <v>ETQP3M330KVN</v>
      </c>
    </row>
    <row r="141" spans="1:73" ht="15">
      <c r="B141" s="28" t="s">
        <v>109</v>
      </c>
      <c r="C141" s="1" t="s">
        <v>483</v>
      </c>
      <c r="D141" s="1" t="s">
        <v>110</v>
      </c>
      <c r="E141" s="2"/>
      <c r="F141" s="84" t="s">
        <v>111</v>
      </c>
      <c r="G141" s="2" t="s">
        <v>112</v>
      </c>
      <c r="H141" s="1" t="s">
        <v>113</v>
      </c>
      <c r="I141" s="2" t="s">
        <v>114</v>
      </c>
      <c r="J141" s="1" t="s">
        <v>115</v>
      </c>
      <c r="K141" s="1" t="s">
        <v>126</v>
      </c>
      <c r="L141" s="1" t="s">
        <v>471</v>
      </c>
      <c r="M141" s="1" t="s">
        <v>472</v>
      </c>
      <c r="N141" s="1" t="s">
        <v>119</v>
      </c>
      <c r="O141" s="59" t="s">
        <v>484</v>
      </c>
      <c r="P141" s="60" t="str">
        <f>MID(All_PCC_a[[#This Row],[Part Number]],7,3)</f>
        <v>1R5</v>
      </c>
      <c r="Q141" s="61">
        <v>1.5</v>
      </c>
      <c r="R141" s="71" t="str">
        <f>IF(All_PCC_a[[#This Row],[Lo (uH)]]&lt;1,"&lt;1",IF(All_PCC_a[[#This Row],[Lo (uH)]]&lt;10,"&lt;10",IF(All_PCC_a[[#This Row],[Lo (uH)]]&lt;100,"&lt;100",IF(All_PCC_a[[#This Row],[Lo (uH)]]&lt;2000,"&lt;2000",""))))</f>
        <v>&lt;10</v>
      </c>
      <c r="S141" s="61" t="str">
        <f>IFERROR(VLOOKUP(All_PCC_a[[#This Row],[Lo (uH)]],[1]Utility!$D$5:$E$43,2,1),"-")</f>
        <v>≤   2</v>
      </c>
      <c r="T141" s="72">
        <v>0.2</v>
      </c>
      <c r="U141" s="70">
        <v>1.1000000000000001</v>
      </c>
      <c r="V141" s="70">
        <v>1.21</v>
      </c>
      <c r="W141" s="80">
        <v>10</v>
      </c>
      <c r="X141" s="71">
        <v>52</v>
      </c>
      <c r="Y141" s="61">
        <v>43</v>
      </c>
      <c r="Z141" s="64">
        <v>43</v>
      </c>
      <c r="AA141" s="61">
        <v>30.5</v>
      </c>
      <c r="AB141" s="1">
        <v>15.6</v>
      </c>
      <c r="AC141" s="1">
        <v>17.2</v>
      </c>
      <c r="AD141" s="61">
        <v>10.5</v>
      </c>
      <c r="AE141" s="1">
        <f>ROUND(All_PCC_a[[#This Row],[L (mm)]]*All_PCC_a[[#This Row],[W (mm)]],1)</f>
        <v>268.3</v>
      </c>
      <c r="AF141" s="61" t="str">
        <f>All_PCC_a[[#This Row],[L (mm)]]&amp;"  x  "&amp;All_PCC_a[[#This Row],[W (mm)]]</f>
        <v>15,6  x  17,2</v>
      </c>
      <c r="AG141" s="65" t="s">
        <v>474</v>
      </c>
      <c r="AH141" s="71" t="str">
        <f>IF(All_PCC_a[[#This Row],[Max Height (mm)]]&lt;=9,"≤ "&amp;ROUNDUP(AD141,0),"≤"&amp;ROUNDUP(AD141,0))</f>
        <v>≤11</v>
      </c>
      <c r="AI141" s="1">
        <v>-40</v>
      </c>
      <c r="AJ141" s="1">
        <v>160</v>
      </c>
      <c r="AK141" s="1" t="str">
        <f>All_PCC_a[[#This Row],[Min Temp (deg.C)]]&amp;" to +"&amp;All_PCC_a[[#This Row],[Max Temp (deg.C)]]</f>
        <v>-40 to +160</v>
      </c>
      <c r="AL141" s="1"/>
      <c r="AO141" s="61" t="s">
        <v>122</v>
      </c>
      <c r="AP141" s="71" t="str">
        <f t="shared" si="16"/>
        <v>-</v>
      </c>
      <c r="AQ141" s="61" t="s">
        <v>122</v>
      </c>
      <c r="AR141" s="61" t="s">
        <v>122</v>
      </c>
      <c r="AS141" s="1" t="s">
        <v>485</v>
      </c>
      <c r="AT141" s="1" t="s">
        <v>482</v>
      </c>
      <c r="AU141" s="1" t="e" vm="1">
        <f ca="1">_xlfn.IMAGE(All_PCC_a[[#This Row],[Image URL]])</f>
        <v>#NAME?</v>
      </c>
      <c r="AW141" s="1"/>
      <c r="AY141" s="1"/>
      <c r="BC141" s="1">
        <f>IF(Z141&lt;('[1]DCDC Ref'!$J$24/'[1]DCDC Ref'!$J$26)*'[1]DCDC Ref'!$J$28/100,0,1)</f>
        <v>1</v>
      </c>
      <c r="BD141" s="66">
        <f>IF(BC141=1000000000,"",('All Data'!Q141-'[1]DCDC Ref'!$J$30)/'[1]DCDC Ref'!$J$30*100)</f>
        <v>137.36263736263737</v>
      </c>
      <c r="BE141" s="67">
        <f t="shared" si="20"/>
        <v>137.36263736263737</v>
      </c>
      <c r="BF141" s="67"/>
      <c r="BG141" s="66"/>
      <c r="BH141" s="68">
        <f t="shared" si="17"/>
        <v>0</v>
      </c>
      <c r="BI141" s="67"/>
      <c r="BJ141" s="1">
        <f>IF(BC141=0,"",('All Data'!Z141-'[1]DCDC Ref'!$J$28*('[1]DCDC Ref'!$J$29/100))/'[1]DCDC Ref'!$J$28*('[1]DCDC Ref'!$J$29/100)*100)</f>
        <v>285.51724137931035</v>
      </c>
      <c r="BK141" s="68">
        <f t="shared" si="18"/>
        <v>285.51724137931035</v>
      </c>
      <c r="BL141" s="68"/>
      <c r="BM141" s="68"/>
      <c r="BN141" s="68"/>
      <c r="BO141" s="68"/>
      <c r="BQ141" s="5">
        <f t="shared" si="21"/>
        <v>688240.77302008343</v>
      </c>
      <c r="BR141" s="5">
        <f>IF(BQ141="","",RANK(BQ141,BQ$11:BQ$9930,1)+COUNTIF(BQ$11:BQ141,BQ141)-1)</f>
        <v>38</v>
      </c>
      <c r="BS141" s="69">
        <f t="shared" si="19"/>
        <v>38</v>
      </c>
      <c r="BT141" s="1" t="str">
        <f>IFERROR(INDEX($O$11:$O$1013,MATCH(ROWS($BS$11:BS141),$BS$11:$BS$1005,0)),"")</f>
        <v>ETQP4M330KVK</v>
      </c>
      <c r="BU141" s="69" t="str">
        <f t="shared" si="22"/>
        <v>ETQP4M330KVK</v>
      </c>
    </row>
    <row r="142" spans="1:73" ht="15">
      <c r="B142" s="28" t="s">
        <v>109</v>
      </c>
      <c r="C142" s="1" t="s">
        <v>483</v>
      </c>
      <c r="D142" s="1" t="s">
        <v>110</v>
      </c>
      <c r="E142" s="2"/>
      <c r="F142" s="84" t="s">
        <v>111</v>
      </c>
      <c r="G142" s="2" t="s">
        <v>112</v>
      </c>
      <c r="H142" s="1" t="s">
        <v>113</v>
      </c>
      <c r="I142" s="2" t="s">
        <v>114</v>
      </c>
      <c r="J142" s="1" t="s">
        <v>115</v>
      </c>
      <c r="K142" s="1" t="s">
        <v>126</v>
      </c>
      <c r="L142" s="1" t="s">
        <v>471</v>
      </c>
      <c r="M142" s="1" t="s">
        <v>472</v>
      </c>
      <c r="N142" s="1" t="s">
        <v>119</v>
      </c>
      <c r="O142" s="59" t="s">
        <v>486</v>
      </c>
      <c r="P142" s="60" t="str">
        <f>MID(All_PCC_a[[#This Row],[Part Number]],7,3)</f>
        <v>2R5</v>
      </c>
      <c r="Q142" s="61">
        <v>2.5</v>
      </c>
      <c r="R142" s="71" t="str">
        <f>IF(All_PCC_a[[#This Row],[Lo (uH)]]&lt;1,"&lt;1",IF(All_PCC_a[[#This Row],[Lo (uH)]]&lt;10,"&lt;10",IF(All_PCC_a[[#This Row],[Lo (uH)]]&lt;100,"&lt;100",IF(All_PCC_a[[#This Row],[Lo (uH)]]&lt;2000,"&lt;2000",""))))</f>
        <v>&lt;10</v>
      </c>
      <c r="S142" s="61" t="str">
        <f>IFERROR(VLOOKUP(All_PCC_a[[#This Row],[Lo (uH)]],[1]Utility!$D$5:$E$43,2,1),"-")</f>
        <v>≤   3</v>
      </c>
      <c r="T142" s="72">
        <v>0.2</v>
      </c>
      <c r="U142" s="70">
        <v>1.7</v>
      </c>
      <c r="V142" s="70">
        <v>1.87</v>
      </c>
      <c r="W142" s="80">
        <v>10</v>
      </c>
      <c r="X142" s="71">
        <v>42</v>
      </c>
      <c r="Y142" s="61">
        <v>34</v>
      </c>
      <c r="Z142" s="64">
        <v>41</v>
      </c>
      <c r="AA142" s="61">
        <v>29.1</v>
      </c>
      <c r="AB142" s="1">
        <v>15.6</v>
      </c>
      <c r="AC142" s="1">
        <v>17.2</v>
      </c>
      <c r="AD142" s="61">
        <v>10.5</v>
      </c>
      <c r="AE142" s="1">
        <f>ROUND(All_PCC_a[[#This Row],[L (mm)]]*All_PCC_a[[#This Row],[W (mm)]],1)</f>
        <v>268.3</v>
      </c>
      <c r="AF142" s="61" t="str">
        <f>All_PCC_a[[#This Row],[L (mm)]]&amp;"  x  "&amp;All_PCC_a[[#This Row],[W (mm)]]</f>
        <v>15,6  x  17,2</v>
      </c>
      <c r="AG142" s="65" t="s">
        <v>474</v>
      </c>
      <c r="AH142" s="71" t="str">
        <f>IF(All_PCC_a[[#This Row],[Max Height (mm)]]&lt;=9,"≤ "&amp;ROUNDUP(AD142,0),"≤"&amp;ROUNDUP(AD142,0))</f>
        <v>≤11</v>
      </c>
      <c r="AI142" s="1">
        <v>-40</v>
      </c>
      <c r="AJ142" s="1">
        <v>160</v>
      </c>
      <c r="AK142" s="1" t="str">
        <f>All_PCC_a[[#This Row],[Min Temp (deg.C)]]&amp;" to +"&amp;All_PCC_a[[#This Row],[Max Temp (deg.C)]]</f>
        <v>-40 to +160</v>
      </c>
      <c r="AL142" s="1"/>
      <c r="AO142" s="61" t="s">
        <v>122</v>
      </c>
      <c r="AP142" s="71" t="str">
        <f t="shared" si="16"/>
        <v>-</v>
      </c>
      <c r="AQ142" s="61" t="s">
        <v>122</v>
      </c>
      <c r="AR142" s="61" t="s">
        <v>122</v>
      </c>
      <c r="AS142" s="1" t="s">
        <v>487</v>
      </c>
      <c r="AT142" s="1" t="s">
        <v>482</v>
      </c>
      <c r="AU142" s="1" t="e" vm="1">
        <f ca="1">_xlfn.IMAGE(All_PCC_a[[#This Row],[Image URL]])</f>
        <v>#NAME?</v>
      </c>
      <c r="AW142" s="1"/>
      <c r="AY142" s="1"/>
      <c r="BC142" s="1">
        <f>IF(Z142&lt;('[1]DCDC Ref'!$J$24/'[1]DCDC Ref'!$J$26)*'[1]DCDC Ref'!$J$28/100,0,1)</f>
        <v>1</v>
      </c>
      <c r="BD142" s="66">
        <f>IF(BC142=1000000000,"",('All Data'!Q142-'[1]DCDC Ref'!$J$30)/'[1]DCDC Ref'!$J$30*100)</f>
        <v>295.60439560439562</v>
      </c>
      <c r="BE142" s="67">
        <f t="shared" si="20"/>
        <v>295.60439560439562</v>
      </c>
      <c r="BF142" s="67"/>
      <c r="BG142" s="66"/>
      <c r="BH142" s="68">
        <f t="shared" si="17"/>
        <v>0</v>
      </c>
      <c r="BI142" s="67"/>
      <c r="BJ142" s="1">
        <f>IF(BC142=0,"",('All Data'!Z142-'[1]DCDC Ref'!$J$28*('[1]DCDC Ref'!$J$29/100))/'[1]DCDC Ref'!$J$28*('[1]DCDC Ref'!$J$29/100)*100)</f>
        <v>267.58620689655169</v>
      </c>
      <c r="BK142" s="68">
        <f t="shared" si="18"/>
        <v>267.58620689655169</v>
      </c>
      <c r="BL142" s="68"/>
      <c r="BM142" s="68"/>
      <c r="BN142" s="68"/>
      <c r="BO142" s="68"/>
      <c r="BQ142" s="5">
        <f t="shared" si="21"/>
        <v>1479359.909056461</v>
      </c>
      <c r="BR142" s="5">
        <f>IF(BQ142="","",RANK(BQ142,BQ$11:BQ$9930,1)+COUNTIF(BQ$11:BQ142,BQ142)-1)</f>
        <v>56</v>
      </c>
      <c r="BS142" s="69">
        <f t="shared" si="19"/>
        <v>56</v>
      </c>
      <c r="BT142" s="1" t="str">
        <f>IFERROR(INDEX($O$11:$O$1013,MATCH(ROWS($BS$11:BS142),$BS$11:$BS$1005,0)),"")</f>
        <v>ETQP4M330KVC</v>
      </c>
      <c r="BU142" s="69" t="str">
        <f t="shared" si="22"/>
        <v>ETQP4M330KVC</v>
      </c>
    </row>
    <row r="143" spans="1:73" ht="15">
      <c r="B143" s="28" t="s">
        <v>109</v>
      </c>
      <c r="C143" s="84" t="s">
        <v>488</v>
      </c>
      <c r="D143" s="1" t="s">
        <v>110</v>
      </c>
      <c r="E143" s="2"/>
      <c r="F143" s="1" t="s">
        <v>111</v>
      </c>
      <c r="G143" s="2" t="s">
        <v>112</v>
      </c>
      <c r="H143" s="1" t="s">
        <v>113</v>
      </c>
      <c r="I143" s="2" t="s">
        <v>114</v>
      </c>
      <c r="J143" s="1" t="s">
        <v>115</v>
      </c>
      <c r="K143" s="1" t="s">
        <v>126</v>
      </c>
      <c r="L143" s="1" t="s">
        <v>471</v>
      </c>
      <c r="M143" s="1" t="s">
        <v>472</v>
      </c>
      <c r="N143" s="1" t="s">
        <v>119</v>
      </c>
      <c r="O143" s="59" t="s">
        <v>489</v>
      </c>
      <c r="P143" s="60" t="str">
        <f>MID(All_PCC_a[[#This Row],[Part Number]],7,3)</f>
        <v>3R3</v>
      </c>
      <c r="Q143" s="61">
        <v>3.3</v>
      </c>
      <c r="R143" s="71" t="str">
        <f>IF(All_PCC_a[[#This Row],[Lo (uH)]]&lt;1,"&lt;1",IF(All_PCC_a[[#This Row],[Lo (uH)]]&lt;10,"&lt;10",IF(All_PCC_a[[#This Row],[Lo (uH)]]&lt;100,"&lt;100",IF(All_PCC_a[[#This Row],[Lo (uH)]]&lt;2000,"&lt;2000",""))))</f>
        <v>&lt;10</v>
      </c>
      <c r="S143" s="61" t="str">
        <f>IFERROR(VLOOKUP(All_PCC_a[[#This Row],[Lo (uH)]],[1]Utility!$D$5:$E$43,2,1),"-")</f>
        <v>≤   4</v>
      </c>
      <c r="T143" s="72">
        <v>0.2</v>
      </c>
      <c r="U143" s="70">
        <v>2.4</v>
      </c>
      <c r="V143" s="70">
        <v>2.64</v>
      </c>
      <c r="W143" s="80">
        <v>10</v>
      </c>
      <c r="X143" s="71">
        <v>35</v>
      </c>
      <c r="Y143" s="61">
        <v>29</v>
      </c>
      <c r="Z143" s="64">
        <v>37</v>
      </c>
      <c r="AA143" s="61">
        <v>26.1</v>
      </c>
      <c r="AB143" s="1">
        <v>15.6</v>
      </c>
      <c r="AC143" s="1">
        <v>17.2</v>
      </c>
      <c r="AD143" s="61">
        <v>10.5</v>
      </c>
      <c r="AE143" s="1">
        <f>ROUND(All_PCC_a[[#This Row],[L (mm)]]*All_PCC_a[[#This Row],[W (mm)]],1)</f>
        <v>268.3</v>
      </c>
      <c r="AF143" s="61" t="str">
        <f>All_PCC_a[[#This Row],[L (mm)]]&amp;"  x  "&amp;All_PCC_a[[#This Row],[W (mm)]]</f>
        <v>15,6  x  17,2</v>
      </c>
      <c r="AG143" s="65" t="s">
        <v>474</v>
      </c>
      <c r="AH143" s="71" t="str">
        <f>IF(All_PCC_a[[#This Row],[Max Height (mm)]]&lt;=9,"≤ "&amp;ROUNDUP(AD143,0),"≤"&amp;ROUNDUP(AD143,0))</f>
        <v>≤11</v>
      </c>
      <c r="AI143" s="1">
        <v>-40</v>
      </c>
      <c r="AJ143" s="1">
        <v>160</v>
      </c>
      <c r="AK143" s="1" t="str">
        <f>All_PCC_a[[#This Row],[Min Temp (deg.C)]]&amp;" to +"&amp;All_PCC_a[[#This Row],[Max Temp (deg.C)]]</f>
        <v>-40 to +160</v>
      </c>
      <c r="AL143" s="1"/>
      <c r="AO143" s="61" t="s">
        <v>122</v>
      </c>
      <c r="AP143" s="71" t="str">
        <f t="shared" si="16"/>
        <v>-</v>
      </c>
      <c r="AQ143" s="61" t="s">
        <v>122</v>
      </c>
      <c r="AR143" s="61" t="s">
        <v>122</v>
      </c>
      <c r="AS143" s="1" t="s">
        <v>490</v>
      </c>
      <c r="AT143" s="1" t="s">
        <v>482</v>
      </c>
      <c r="AU143" s="1" t="e" vm="1">
        <f ca="1">_xlfn.IMAGE(All_PCC_a[[#This Row],[Image URL]])</f>
        <v>#NAME?</v>
      </c>
      <c r="AW143" s="1"/>
      <c r="AY143" s="1"/>
      <c r="BC143" s="1">
        <f>IF(Z143&lt;('[1]DCDC Ref'!$J$24/'[1]DCDC Ref'!$J$26)*'[1]DCDC Ref'!$J$28/100,0,1)</f>
        <v>1</v>
      </c>
      <c r="BD143" s="66">
        <f>IF(BC143=1000000000,"",('All Data'!Q143-'[1]DCDC Ref'!$J$30)/'[1]DCDC Ref'!$J$30*100)</f>
        <v>422.1978021978021</v>
      </c>
      <c r="BE143" s="67">
        <f t="shared" si="20"/>
        <v>422.1978021978021</v>
      </c>
      <c r="BF143" s="67"/>
      <c r="BG143" s="66"/>
      <c r="BH143" s="68">
        <f t="shared" si="17"/>
        <v>0</v>
      </c>
      <c r="BI143" s="67"/>
      <c r="BJ143" s="1">
        <f>IF(BC143=0,"",('All Data'!Z143-'[1]DCDC Ref'!$J$28*('[1]DCDC Ref'!$J$29/100))/'[1]DCDC Ref'!$J$28*('[1]DCDC Ref'!$J$29/100)*100)</f>
        <v>231.72413793103445</v>
      </c>
      <c r="BK143" s="68">
        <f t="shared" si="18"/>
        <v>231.72413793103445</v>
      </c>
      <c r="BL143" s="68"/>
      <c r="BM143" s="68"/>
      <c r="BN143" s="68"/>
      <c r="BO143" s="68"/>
      <c r="BQ143" s="5">
        <f t="shared" si="21"/>
        <v>2112147.6316786655</v>
      </c>
      <c r="BR143" s="5">
        <f>IF(BQ143="","",RANK(BQ143,BQ$11:BQ$9930,1)+COUNTIF(BQ$11:BQ143,BQ143)-1)</f>
        <v>69</v>
      </c>
      <c r="BS143" s="69">
        <f t="shared" si="19"/>
        <v>69</v>
      </c>
      <c r="BT143" s="1" t="str">
        <f>IFERROR(INDEX($O$11:$O$1013,MATCH(ROWS($BS$11:BS143),$BS$11:$BS$1005,0)),"")</f>
        <v>ETQP4M330KFM</v>
      </c>
      <c r="BU143" s="69" t="str">
        <f t="shared" si="22"/>
        <v>ETQP4M330KFM</v>
      </c>
    </row>
    <row r="144" spans="1:73" ht="15">
      <c r="B144" s="28" t="s">
        <v>109</v>
      </c>
      <c r="C144" s="84" t="s">
        <v>488</v>
      </c>
      <c r="D144" s="1" t="s">
        <v>110</v>
      </c>
      <c r="E144" s="2"/>
      <c r="F144" s="1" t="s">
        <v>111</v>
      </c>
      <c r="G144" s="2" t="s">
        <v>112</v>
      </c>
      <c r="H144" s="1" t="s">
        <v>113</v>
      </c>
      <c r="I144" s="2" t="s">
        <v>114</v>
      </c>
      <c r="J144" s="1" t="s">
        <v>115</v>
      </c>
      <c r="K144" s="1" t="s">
        <v>126</v>
      </c>
      <c r="L144" s="1" t="s">
        <v>471</v>
      </c>
      <c r="M144" s="1" t="s">
        <v>472</v>
      </c>
      <c r="N144" s="1" t="s">
        <v>119</v>
      </c>
      <c r="O144" s="59" t="s">
        <v>491</v>
      </c>
      <c r="P144" s="60" t="str">
        <f>MID(All_PCC_a[[#This Row],[Part Number]],7,3)</f>
        <v>4R7</v>
      </c>
      <c r="Q144" s="61">
        <v>4.7</v>
      </c>
      <c r="R144" s="71" t="str">
        <f>IF(All_PCC_a[[#This Row],[Lo (uH)]]&lt;1,"&lt;1",IF(All_PCC_a[[#This Row],[Lo (uH)]]&lt;10,"&lt;10",IF(All_PCC_a[[#This Row],[Lo (uH)]]&lt;100,"&lt;100",IF(All_PCC_a[[#This Row],[Lo (uH)]]&lt;2000,"&lt;2000",""))))</f>
        <v>&lt;10</v>
      </c>
      <c r="S144" s="61" t="str">
        <f>IFERROR(VLOOKUP(All_PCC_a[[#This Row],[Lo (uH)]],[1]Utility!$D$5:$E$43,2,1),"-")</f>
        <v>≤   5</v>
      </c>
      <c r="T144" s="72">
        <v>0.2</v>
      </c>
      <c r="U144" s="70">
        <v>3.1</v>
      </c>
      <c r="V144" s="70">
        <v>3.41</v>
      </c>
      <c r="W144" s="80">
        <v>10</v>
      </c>
      <c r="X144" s="71">
        <v>31</v>
      </c>
      <c r="Y144" s="61">
        <v>26</v>
      </c>
      <c r="Z144" s="64">
        <v>30</v>
      </c>
      <c r="AA144" s="61">
        <v>21.1</v>
      </c>
      <c r="AB144" s="1">
        <v>15.6</v>
      </c>
      <c r="AC144" s="1">
        <v>17.2</v>
      </c>
      <c r="AD144" s="61">
        <v>10.5</v>
      </c>
      <c r="AE144" s="1">
        <f>ROUND(All_PCC_a[[#This Row],[L (mm)]]*All_PCC_a[[#This Row],[W (mm)]],1)</f>
        <v>268.3</v>
      </c>
      <c r="AF144" s="61" t="str">
        <f>All_PCC_a[[#This Row],[L (mm)]]&amp;"  x  "&amp;All_PCC_a[[#This Row],[W (mm)]]</f>
        <v>15,6  x  17,2</v>
      </c>
      <c r="AG144" s="65" t="s">
        <v>474</v>
      </c>
      <c r="AH144" s="71" t="str">
        <f>IF(All_PCC_a[[#This Row],[Max Height (mm)]]&lt;=9,"≤ "&amp;ROUNDUP(AD144,0),"≤"&amp;ROUNDUP(AD144,0))</f>
        <v>≤11</v>
      </c>
      <c r="AI144" s="1">
        <v>-40</v>
      </c>
      <c r="AJ144" s="1">
        <v>160</v>
      </c>
      <c r="AK144" s="1" t="str">
        <f>All_PCC_a[[#This Row],[Min Temp (deg.C)]]&amp;" to +"&amp;All_PCC_a[[#This Row],[Max Temp (deg.C)]]</f>
        <v>-40 to +160</v>
      </c>
      <c r="AL144" s="1"/>
      <c r="AO144" s="61" t="s">
        <v>122</v>
      </c>
      <c r="AP144" s="71" t="str">
        <f t="shared" si="16"/>
        <v>-</v>
      </c>
      <c r="AQ144" s="61" t="s">
        <v>122</v>
      </c>
      <c r="AR144" s="61" t="s">
        <v>122</v>
      </c>
      <c r="AS144" s="1" t="s">
        <v>492</v>
      </c>
      <c r="AT144" s="1" t="s">
        <v>482</v>
      </c>
      <c r="AU144" s="1" t="e" vm="1">
        <f ca="1">_xlfn.IMAGE(All_PCC_a[[#This Row],[Image URL]])</f>
        <v>#NAME?</v>
      </c>
      <c r="AW144" s="1"/>
      <c r="AY144" s="1"/>
      <c r="BC144" s="1">
        <f>IF(Z144&lt;('[1]DCDC Ref'!$J$24/'[1]DCDC Ref'!$J$26)*'[1]DCDC Ref'!$J$28/100,0,1)</f>
        <v>1</v>
      </c>
      <c r="BD144" s="66">
        <f>IF(BC144=1000000000,"",('All Data'!Q144-'[1]DCDC Ref'!$J$30)/'[1]DCDC Ref'!$J$30*100)</f>
        <v>643.73626373626371</v>
      </c>
      <c r="BE144" s="67">
        <f t="shared" si="20"/>
        <v>643.73626373626371</v>
      </c>
      <c r="BF144" s="67"/>
      <c r="BG144" s="66"/>
      <c r="BH144" s="68">
        <f t="shared" si="17"/>
        <v>0</v>
      </c>
      <c r="BI144" s="67"/>
      <c r="BJ144" s="1">
        <f>IF(BC144=0,"",('All Data'!Z144-'[1]DCDC Ref'!$J$28*('[1]DCDC Ref'!$J$29/100))/'[1]DCDC Ref'!$J$28*('[1]DCDC Ref'!$J$29/100)*100)</f>
        <v>168.9655172413793</v>
      </c>
      <c r="BK144" s="68">
        <f t="shared" si="18"/>
        <v>168.9655172413793</v>
      </c>
      <c r="BL144" s="68"/>
      <c r="BM144" s="68"/>
      <c r="BN144" s="68"/>
      <c r="BO144" s="68"/>
      <c r="BQ144" s="5">
        <f t="shared" si="21"/>
        <v>3219526.1462675254</v>
      </c>
      <c r="BR144" s="5">
        <f>IF(BQ144="","",RANK(BQ144,BQ$11:BQ$9930,1)+COUNTIF(BQ$11:BQ144,BQ144)-1)</f>
        <v>78</v>
      </c>
      <c r="BS144" s="69">
        <f t="shared" si="19"/>
        <v>78</v>
      </c>
      <c r="BT144" s="1" t="str">
        <f>IFERROR(INDEX($O$11:$O$1013,MATCH(ROWS($BS$11:BS144),$BS$11:$BS$1005,0)),"")</f>
        <v>ETQP5M470YSC</v>
      </c>
      <c r="BU144" s="69" t="str">
        <f t="shared" si="22"/>
        <v>ETQP5M470YSC</v>
      </c>
    </row>
    <row r="145" spans="2:73">
      <c r="B145" s="28" t="s">
        <v>109</v>
      </c>
      <c r="C145" s="24">
        <v>45057</v>
      </c>
      <c r="D145" s="1" t="s">
        <v>110</v>
      </c>
      <c r="E145" s="58"/>
      <c r="F145" s="1" t="s">
        <v>111</v>
      </c>
      <c r="G145" s="2" t="s">
        <v>112</v>
      </c>
      <c r="H145" s="1" t="s">
        <v>113</v>
      </c>
      <c r="I145" s="2" t="s">
        <v>114</v>
      </c>
      <c r="J145" s="1" t="s">
        <v>115</v>
      </c>
      <c r="K145" s="1" t="s">
        <v>134</v>
      </c>
      <c r="L145" s="1" t="s">
        <v>493</v>
      </c>
      <c r="M145" s="1" t="s">
        <v>136</v>
      </c>
      <c r="N145" s="1" t="s">
        <v>119</v>
      </c>
      <c r="O145" s="59" t="s">
        <v>494</v>
      </c>
      <c r="P145" s="60" t="str">
        <f>MID(All_PCC_a[[#This Row],[Part Number]],7,3)</f>
        <v>220</v>
      </c>
      <c r="Q145" s="61">
        <v>22</v>
      </c>
      <c r="R145" s="71" t="str">
        <f>IF(All_PCC_a[[#This Row],[Lo (uH)]]&lt;1,"&lt;1",IF(All_PCC_a[[#This Row],[Lo (uH)]]&lt;10,"&lt;10",IF(All_PCC_a[[#This Row],[Lo (uH)]]&lt;100,"&lt;100",IF(All_PCC_a[[#This Row],[Lo (uH)]]&lt;2000,"&lt;2000",""))))</f>
        <v>&lt;100</v>
      </c>
      <c r="S145" s="61" t="str">
        <f>IFERROR(VLOOKUP(All_PCC_a[[#This Row],[Lo (uH)]],[1]Utility!$D$5:$E$43,2,1),"-")</f>
        <v>≤  30</v>
      </c>
      <c r="T145" s="62">
        <v>0.2</v>
      </c>
      <c r="U145" s="70">
        <v>165</v>
      </c>
      <c r="V145" s="70">
        <v>181.5</v>
      </c>
      <c r="W145" s="80">
        <v>10</v>
      </c>
      <c r="X145" s="71">
        <v>2.2000000000000002</v>
      </c>
      <c r="Y145" s="61">
        <v>1.8</v>
      </c>
      <c r="Z145" s="64">
        <v>2.8</v>
      </c>
      <c r="AA145" s="61">
        <v>1.9</v>
      </c>
      <c r="AB145" s="61">
        <v>5.5</v>
      </c>
      <c r="AC145" s="61">
        <v>5</v>
      </c>
      <c r="AD145" s="61">
        <v>3</v>
      </c>
      <c r="AE145" s="1">
        <f>ROUND(All_PCC_a[[#This Row],[L (mm)]]*All_PCC_a[[#This Row],[W (mm)]],1)</f>
        <v>27.5</v>
      </c>
      <c r="AF145" s="61" t="str">
        <f>All_PCC_a[[#This Row],[L (mm)]]&amp;"  x  "&amp;All_PCC_a[[#This Row],[W (mm)]]</f>
        <v>5,5  x  5</v>
      </c>
      <c r="AG145" s="65" t="s">
        <v>495</v>
      </c>
      <c r="AH145" s="71" t="str">
        <f>IF(All_PCC_a[[#This Row],[Max Height (mm)]]&lt;=9,"≤ "&amp;ROUNDUP(AD145,0),"≤"&amp;ROUNDUP(AD145,0))</f>
        <v>≤ 3</v>
      </c>
      <c r="AI145" s="1">
        <v>-55</v>
      </c>
      <c r="AJ145" s="1">
        <v>155</v>
      </c>
      <c r="AK145" s="1" t="str">
        <f>All_PCC_a[[#This Row],[Min Temp (deg.C)]]&amp;" to +"&amp;All_PCC_a[[#This Row],[Max Temp (deg.C)]]</f>
        <v>-55 to +155</v>
      </c>
      <c r="AL145" s="1"/>
      <c r="AO145" s="61" t="s">
        <v>122</v>
      </c>
      <c r="AP145" s="71" t="s">
        <v>122</v>
      </c>
      <c r="AQ145" s="61" t="s">
        <v>122</v>
      </c>
      <c r="AR145" s="61" t="s">
        <v>122</v>
      </c>
      <c r="AS145" s="1" t="s">
        <v>496</v>
      </c>
      <c r="AT145" s="1" t="s">
        <v>140</v>
      </c>
      <c r="AU145" s="1" t="e" vm="1">
        <f ca="1">_xlfn.IMAGE(All_PCC_a[[#This Row],[Image URL]])</f>
        <v>#NAME?</v>
      </c>
      <c r="AW145" s="1"/>
      <c r="AX145" s="61"/>
      <c r="AY145" s="61"/>
      <c r="BC145" s="1">
        <f>IF(Z145&lt;('[1]DCDC Ref'!$J$24/'[1]DCDC Ref'!$J$26)*'[1]DCDC Ref'!$J$28/100,0,1)</f>
        <v>1</v>
      </c>
      <c r="BD145" s="66">
        <f>IF(BC145=1000000000,"",('All Data'!Q145-'[1]DCDC Ref'!$J$30)/'[1]DCDC Ref'!$J$30*100)</f>
        <v>3381.3186813186817</v>
      </c>
      <c r="BE145" s="67">
        <f t="shared" si="20"/>
        <v>3381.3186813186817</v>
      </c>
      <c r="BF145" s="67"/>
      <c r="BG145" s="66"/>
      <c r="BH145" s="68">
        <f t="shared" si="17"/>
        <v>0</v>
      </c>
      <c r="BI145" s="67"/>
      <c r="BJ145" s="1">
        <f>IF(BC145=0,"",('All Data'!Z145-'[1]DCDC Ref'!$J$28*('[1]DCDC Ref'!$J$29/100))/'[1]DCDC Ref'!$J$28*('[1]DCDC Ref'!$J$29/100)*100)</f>
        <v>-74.896551724137936</v>
      </c>
      <c r="BK145" s="68">
        <f t="shared" si="18"/>
        <v>10000</v>
      </c>
      <c r="BL145" s="68"/>
      <c r="BM145" s="68"/>
      <c r="BN145" s="68"/>
      <c r="BO145" s="68"/>
      <c r="BQ145" s="5">
        <f t="shared" si="21"/>
        <v>16956593.406593408</v>
      </c>
      <c r="BR145" s="5">
        <f>IF(BQ145="","",RANK(BQ145,BQ$11:BQ$9930,1)+COUNTIF(BQ$11:BQ145,BQ145)-1)</f>
        <v>126</v>
      </c>
      <c r="BS145" s="69">
        <f t="shared" si="19"/>
        <v>126</v>
      </c>
      <c r="BT145" s="1" t="str">
        <f>IFERROR(INDEX($O$11:$O$1013,MATCH(ROWS($BS$11:BS145),$BS$11:$BS$1005,0)),"")</f>
        <v>ETQP4M470YFN</v>
      </c>
      <c r="BU145" s="69" t="str">
        <f t="shared" si="22"/>
        <v>ETQP4M470YFN</v>
      </c>
    </row>
    <row r="146" spans="2:73" ht="15">
      <c r="B146" s="28" t="s">
        <v>109</v>
      </c>
      <c r="C146" s="1" t="s">
        <v>497</v>
      </c>
      <c r="D146" s="1" t="s">
        <v>110</v>
      </c>
      <c r="E146" s="2"/>
      <c r="F146" s="84" t="s">
        <v>111</v>
      </c>
      <c r="G146" s="2" t="s">
        <v>112</v>
      </c>
      <c r="H146" s="1" t="s">
        <v>113</v>
      </c>
      <c r="I146" s="2" t="s">
        <v>114</v>
      </c>
      <c r="J146" s="1" t="s">
        <v>115</v>
      </c>
      <c r="K146" s="1" t="s">
        <v>498</v>
      </c>
      <c r="L146" s="1" t="s">
        <v>499</v>
      </c>
      <c r="M146" s="1" t="s">
        <v>500</v>
      </c>
      <c r="N146" s="1" t="s">
        <v>119</v>
      </c>
      <c r="O146" s="59" t="s">
        <v>501</v>
      </c>
      <c r="P146" s="60" t="str">
        <f>MID(All_PCC_a[[#This Row],[Part Number]],7,3)</f>
        <v>R22</v>
      </c>
      <c r="Q146" s="61">
        <v>0.22</v>
      </c>
      <c r="R146" s="71" t="str">
        <f>IF(All_PCC_a[[#This Row],[Lo (uH)]]&lt;1,"&lt;1",IF(All_PCC_a[[#This Row],[Lo (uH)]]&lt;10,"&lt;10",IF(All_PCC_a[[#This Row],[Lo (uH)]]&lt;100,"&lt;100",IF(All_PCC_a[[#This Row],[Lo (uH)]]&lt;2000,"&lt;2000",""))))</f>
        <v>&lt;1</v>
      </c>
      <c r="S146" s="61" t="str">
        <f>IFERROR(VLOOKUP(All_PCC_a[[#This Row],[Lo (uH)]],[1]Utility!$D$5:$E$43,2,1),"-")</f>
        <v>≤    0.3</v>
      </c>
      <c r="T146" s="62">
        <v>0.2</v>
      </c>
      <c r="U146" s="70">
        <v>0.71</v>
      </c>
      <c r="V146" s="70">
        <v>0.78</v>
      </c>
      <c r="W146" s="80">
        <v>20</v>
      </c>
      <c r="X146" s="71">
        <v>44</v>
      </c>
      <c r="Y146" s="61">
        <v>32</v>
      </c>
      <c r="Z146" s="64">
        <v>63.7</v>
      </c>
      <c r="AA146" s="61">
        <v>45</v>
      </c>
      <c r="AB146" s="61">
        <v>7.9</v>
      </c>
      <c r="AC146" s="61">
        <v>7</v>
      </c>
      <c r="AD146" s="61">
        <v>5</v>
      </c>
      <c r="AE146" s="1">
        <f>ROUND(All_PCC_a[[#This Row],[L (mm)]]*All_PCC_a[[#This Row],[W (mm)]],1)</f>
        <v>55.3</v>
      </c>
      <c r="AF146" s="61" t="str">
        <f>All_PCC_a[[#This Row],[L (mm)]]&amp;"  x  "&amp;All_PCC_a[[#This Row],[W (mm)]]</f>
        <v>7,9  x  7</v>
      </c>
      <c r="AG146" s="65" t="s">
        <v>282</v>
      </c>
      <c r="AH146" s="71" t="str">
        <f>IF(All_PCC_a[[#This Row],[Max Height (mm)]]&lt;=9,"≤ "&amp;ROUNDUP(AD146,0),"≤"&amp;ROUNDUP(AD146,0))</f>
        <v>≤ 5</v>
      </c>
      <c r="AI146" s="1">
        <v>-55</v>
      </c>
      <c r="AJ146" s="1">
        <v>155</v>
      </c>
      <c r="AK146" s="1" t="str">
        <f>All_PCC_a[[#This Row],[Min Temp (deg.C)]]&amp;" to +"&amp;All_PCC_a[[#This Row],[Max Temp (deg.C)]]</f>
        <v>-55 to +155</v>
      </c>
      <c r="AL146" s="1"/>
      <c r="AO146" s="61" t="s">
        <v>122</v>
      </c>
      <c r="AP146" s="71" t="s">
        <v>122</v>
      </c>
      <c r="AQ146" s="61" t="s">
        <v>122</v>
      </c>
      <c r="AR146" s="61" t="s">
        <v>122</v>
      </c>
      <c r="AS146" s="1" t="s">
        <v>496</v>
      </c>
      <c r="AT146" s="1" t="s">
        <v>502</v>
      </c>
      <c r="AU146" s="1" t="e" vm="1">
        <f ca="1">_xlfn.IMAGE(All_PCC_a[[#This Row],[Image URL]])</f>
        <v>#NAME?</v>
      </c>
      <c r="AW146" s="1"/>
      <c r="AX146" s="61"/>
      <c r="AY146" s="61"/>
      <c r="BC146" s="1">
        <f>IF(Z146&lt;('[1]DCDC Ref'!$J$24/'[1]DCDC Ref'!$J$26)*'[1]DCDC Ref'!$J$28/100,0,1)</f>
        <v>1</v>
      </c>
      <c r="BD146" s="66">
        <f>IF(BC146=1000000000,"",('All Data'!Q146-'[1]DCDC Ref'!$J$30)/'[1]DCDC Ref'!$J$30*100)</f>
        <v>-65.186813186813183</v>
      </c>
      <c r="BE146" s="67">
        <f t="shared" si="20"/>
        <v>65.186813186813183</v>
      </c>
      <c r="BF146" s="67"/>
      <c r="BG146" s="66"/>
      <c r="BH146" s="68">
        <f t="shared" si="17"/>
        <v>0</v>
      </c>
      <c r="BI146" s="67"/>
      <c r="BJ146" s="1">
        <f>IF(BC146=0,"",('All Data'!Z146-'[1]DCDC Ref'!$J$28*('[1]DCDC Ref'!$J$29/100))/'[1]DCDC Ref'!$J$28*('[1]DCDC Ref'!$J$29/100)*100)</f>
        <v>471.10344827586204</v>
      </c>
      <c r="BK146" s="68">
        <f t="shared" si="18"/>
        <v>471.10344827586204</v>
      </c>
      <c r="BL146" s="68"/>
      <c r="BM146" s="68"/>
      <c r="BN146" s="68"/>
      <c r="BO146" s="68"/>
      <c r="BQ146" s="5">
        <f t="shared" si="21"/>
        <v>328289.58317544521</v>
      </c>
      <c r="BR146" s="5">
        <f>IF(BQ146="","",RANK(BQ146,BQ$11:BQ$9930,1)+COUNTIF(BQ$11:BQ146,BQ146)-1)</f>
        <v>27</v>
      </c>
      <c r="BS146" s="69">
        <f t="shared" si="19"/>
        <v>27</v>
      </c>
      <c r="BT146" s="1" t="str">
        <f>IFERROR(INDEX($O$11:$O$1013,MATCH(ROWS($BS$11:BS146),$BS$11:$BS$1005,0)),"")</f>
        <v>ETQP5M470YFC</v>
      </c>
      <c r="BU146" s="69" t="str">
        <f t="shared" si="22"/>
        <v>ETQP5M470YFC</v>
      </c>
    </row>
    <row r="147" spans="2:73">
      <c r="B147" s="28" t="s">
        <v>109</v>
      </c>
      <c r="C147" s="24" t="s">
        <v>503</v>
      </c>
      <c r="D147" s="1" t="s">
        <v>110</v>
      </c>
      <c r="E147" s="2"/>
      <c r="F147" s="1" t="s">
        <v>111</v>
      </c>
      <c r="G147" s="2" t="s">
        <v>112</v>
      </c>
      <c r="H147" s="1" t="s">
        <v>504</v>
      </c>
      <c r="I147" s="2" t="s">
        <v>114</v>
      </c>
      <c r="J147" s="1" t="s">
        <v>115</v>
      </c>
      <c r="K147" s="1" t="s">
        <v>173</v>
      </c>
      <c r="L147" s="1" t="s">
        <v>505</v>
      </c>
      <c r="M147" s="1" t="s">
        <v>464</v>
      </c>
      <c r="N147" s="1" t="s">
        <v>119</v>
      </c>
      <c r="O147" s="59" t="s">
        <v>506</v>
      </c>
      <c r="P147" s="60" t="str">
        <f>MID(All_PCC_a[[#This Row],[Part Number]],7,3)</f>
        <v>2R5</v>
      </c>
      <c r="Q147" s="61">
        <v>2.5</v>
      </c>
      <c r="R147" s="71" t="str">
        <f>IF(All_PCC_a[[#This Row],[Lo (uH)]]&lt;1,"&lt;1",IF(All_PCC_a[[#This Row],[Lo (uH)]]&lt;10,"&lt;10",IF(All_PCC_a[[#This Row],[Lo (uH)]]&lt;100,"&lt;100",IF(All_PCC_a[[#This Row],[Lo (uH)]]&lt;2000,"&lt;2000",""))))</f>
        <v>&lt;10</v>
      </c>
      <c r="S147" s="61" t="str">
        <f>IFERROR(VLOOKUP(All_PCC_a[[#This Row],[Lo (uH)]],[1]Utility!$D$5:$E$43,2,1),"-")</f>
        <v>≤   3</v>
      </c>
      <c r="T147" s="62">
        <v>0.2</v>
      </c>
      <c r="U147" s="70">
        <v>5.3</v>
      </c>
      <c r="V147" s="70">
        <v>5.83</v>
      </c>
      <c r="W147" s="80">
        <v>10</v>
      </c>
      <c r="X147" s="71">
        <v>18.100000000000001</v>
      </c>
      <c r="Y147" s="61">
        <v>15.1</v>
      </c>
      <c r="Z147" s="64">
        <v>27.2</v>
      </c>
      <c r="AA147" s="61">
        <v>20</v>
      </c>
      <c r="AB147" s="61">
        <v>10.9</v>
      </c>
      <c r="AC147" s="61">
        <v>10</v>
      </c>
      <c r="AD147" s="61">
        <v>5.4</v>
      </c>
      <c r="AE147" s="1">
        <f>ROUND(All_PCC_a[[#This Row],[L (mm)]]*All_PCC_a[[#This Row],[W (mm)]],1)</f>
        <v>109</v>
      </c>
      <c r="AF147" s="61" t="str">
        <f>All_PCC_a[[#This Row],[L (mm)]]&amp;"  x  "&amp;All_PCC_a[[#This Row],[W (mm)]]</f>
        <v>10,9  x  10</v>
      </c>
      <c r="AG147" s="65" t="s">
        <v>150</v>
      </c>
      <c r="AH147" s="61" t="str">
        <f>IF(All_PCC_a[[#This Row],[Max Height (mm)]]&lt;=9,"≤ "&amp;ROUNDUP(AD147,0),"≤"&amp;ROUNDUP(AD147,0))</f>
        <v>≤ 6</v>
      </c>
      <c r="AI147" s="1">
        <v>-40</v>
      </c>
      <c r="AJ147" s="1">
        <v>150</v>
      </c>
      <c r="AK147" s="1" t="str">
        <f>All_PCC_a[[#This Row],[Min Temp (deg.C)]]&amp;" to +"&amp;All_PCC_a[[#This Row],[Max Temp (deg.C)]]</f>
        <v>-40 to +150</v>
      </c>
      <c r="AL147" s="1"/>
      <c r="AO147" s="61" t="s">
        <v>122</v>
      </c>
      <c r="AP147" s="71" t="s">
        <v>122</v>
      </c>
      <c r="AQ147" s="61" t="s">
        <v>122</v>
      </c>
      <c r="AR147" s="61" t="s">
        <v>122</v>
      </c>
      <c r="AS147" s="1" t="s">
        <v>507</v>
      </c>
      <c r="AT147" s="1" t="s">
        <v>178</v>
      </c>
      <c r="AU147" s="1" t="e" vm="1">
        <f ca="1">_xlfn.IMAGE(All_PCC_a[[#This Row],[Image URL]])</f>
        <v>#NAME?</v>
      </c>
      <c r="AW147" s="1"/>
      <c r="AX147" s="61"/>
      <c r="AY147" s="61"/>
      <c r="BC147" s="1">
        <f>IF(Z147&lt;('[1]DCDC Ref'!$J$24/'[1]DCDC Ref'!$J$26)*'[1]DCDC Ref'!$J$28/100,0,1)</f>
        <v>1</v>
      </c>
      <c r="BD147" s="66">
        <f>IF(BC147=1000000000,"",('All Data'!Q147-'[1]DCDC Ref'!$J$30)/'[1]DCDC Ref'!$J$30*100)</f>
        <v>295.60439560439562</v>
      </c>
      <c r="BE147" s="67">
        <f t="shared" si="20"/>
        <v>295.60439560439562</v>
      </c>
      <c r="BF147" s="67"/>
      <c r="BG147" s="66"/>
      <c r="BH147" s="68">
        <f t="shared" si="17"/>
        <v>0</v>
      </c>
      <c r="BI147" s="67"/>
      <c r="BJ147" s="1">
        <f>IF(BC147=0,"",('All Data'!Z147-'[1]DCDC Ref'!$J$28*('[1]DCDC Ref'!$J$29/100))/'[1]DCDC Ref'!$J$28*('[1]DCDC Ref'!$J$29/100)*100)</f>
        <v>143.86206896551718</v>
      </c>
      <c r="BK147" s="68">
        <f t="shared" si="18"/>
        <v>143.86206896551718</v>
      </c>
      <c r="BL147" s="68"/>
      <c r="BM147" s="68"/>
      <c r="BN147" s="68"/>
      <c r="BO147" s="68"/>
      <c r="BQ147" s="5">
        <f t="shared" si="21"/>
        <v>1478741.2883668058</v>
      </c>
      <c r="BR147" s="5">
        <f>IF(BQ147="","",RANK(BQ147,BQ$11:BQ$9930,1)+COUNTIF(BQ$11:BQ147,BQ147)-1)</f>
        <v>54</v>
      </c>
      <c r="BS147" s="69">
        <f t="shared" si="19"/>
        <v>54</v>
      </c>
      <c r="BT147" s="1" t="str">
        <f>IFERROR(INDEX($O$11:$O$1013,MATCH(ROWS($BS$11:BS147),$BS$11:$BS$1005,0)),"")</f>
        <v>ETQP4M470KVC</v>
      </c>
      <c r="BU147" s="69" t="str">
        <f t="shared" si="22"/>
        <v>ETQP4M470KVC</v>
      </c>
    </row>
    <row r="148" spans="2:73">
      <c r="B148" s="28" t="s">
        <v>109</v>
      </c>
      <c r="C148" s="24" t="s">
        <v>503</v>
      </c>
      <c r="D148" s="1" t="s">
        <v>110</v>
      </c>
      <c r="E148" s="2"/>
      <c r="F148" s="1" t="s">
        <v>111</v>
      </c>
      <c r="G148" s="2" t="s">
        <v>112</v>
      </c>
      <c r="H148" s="1" t="s">
        <v>504</v>
      </c>
      <c r="I148" s="2" t="s">
        <v>114</v>
      </c>
      <c r="J148" s="1" t="s">
        <v>115</v>
      </c>
      <c r="K148" s="1" t="s">
        <v>173</v>
      </c>
      <c r="L148" s="1" t="s">
        <v>505</v>
      </c>
      <c r="M148" s="1" t="s">
        <v>464</v>
      </c>
      <c r="N148" s="1" t="s">
        <v>119</v>
      </c>
      <c r="O148" s="59" t="s">
        <v>508</v>
      </c>
      <c r="P148" s="60" t="str">
        <f>MID(All_PCC_a[[#This Row],[Part Number]],7,3)</f>
        <v>3R3</v>
      </c>
      <c r="Q148" s="61">
        <v>3.3</v>
      </c>
      <c r="R148" s="71" t="str">
        <f>IF(All_PCC_a[[#This Row],[Lo (uH)]]&lt;1,"&lt;1",IF(All_PCC_a[[#This Row],[Lo (uH)]]&lt;10,"&lt;10",IF(All_PCC_a[[#This Row],[Lo (uH)]]&lt;100,"&lt;100",IF(All_PCC_a[[#This Row],[Lo (uH)]]&lt;2000,"&lt;2000",""))))</f>
        <v>&lt;10</v>
      </c>
      <c r="S148" s="61" t="str">
        <f>IFERROR(VLOOKUP(All_PCC_a[[#This Row],[Lo (uH)]],[1]Utility!$D$5:$E$43,2,1),"-")</f>
        <v>≤   4</v>
      </c>
      <c r="T148" s="62">
        <v>0.2</v>
      </c>
      <c r="U148" s="70">
        <v>7.1</v>
      </c>
      <c r="V148" s="70">
        <v>7.81</v>
      </c>
      <c r="W148" s="80">
        <v>10</v>
      </c>
      <c r="X148" s="71">
        <v>15.7</v>
      </c>
      <c r="Y148" s="61">
        <v>13.1</v>
      </c>
      <c r="Z148" s="64">
        <v>22.7</v>
      </c>
      <c r="AA148" s="61">
        <v>17.5</v>
      </c>
      <c r="AB148" s="61">
        <v>10.9</v>
      </c>
      <c r="AC148" s="61">
        <v>10</v>
      </c>
      <c r="AD148" s="61">
        <v>5.4</v>
      </c>
      <c r="AE148" s="1">
        <f>ROUND(All_PCC_a[[#This Row],[L (mm)]]*All_PCC_a[[#This Row],[W (mm)]],1)</f>
        <v>109</v>
      </c>
      <c r="AF148" s="61" t="str">
        <f>All_PCC_a[[#This Row],[L (mm)]]&amp;"  x  "&amp;All_PCC_a[[#This Row],[W (mm)]]</f>
        <v>10,9  x  10</v>
      </c>
      <c r="AG148" s="65" t="s">
        <v>150</v>
      </c>
      <c r="AH148" s="61" t="str">
        <f>IF(All_PCC_a[[#This Row],[Max Height (mm)]]&lt;=9,"≤ "&amp;ROUNDUP(AD148,0),"≤"&amp;ROUNDUP(AD148,0))</f>
        <v>≤ 6</v>
      </c>
      <c r="AI148" s="1">
        <v>-40</v>
      </c>
      <c r="AJ148" s="1">
        <v>150</v>
      </c>
      <c r="AK148" s="1" t="str">
        <f>All_PCC_a[[#This Row],[Min Temp (deg.C)]]&amp;" to +"&amp;All_PCC_a[[#This Row],[Max Temp (deg.C)]]</f>
        <v>-40 to +150</v>
      </c>
      <c r="AL148" s="1"/>
      <c r="AO148" s="61" t="s">
        <v>122</v>
      </c>
      <c r="AP148" s="71" t="s">
        <v>122</v>
      </c>
      <c r="AQ148" s="61" t="s">
        <v>122</v>
      </c>
      <c r="AR148" s="61" t="s">
        <v>122</v>
      </c>
      <c r="AS148" s="1" t="s">
        <v>509</v>
      </c>
      <c r="AT148" s="1" t="s">
        <v>178</v>
      </c>
      <c r="AU148" s="1" t="e" vm="1">
        <f ca="1">_xlfn.IMAGE(All_PCC_a[[#This Row],[Image URL]])</f>
        <v>#NAME?</v>
      </c>
      <c r="AW148" s="1"/>
      <c r="AX148" s="61"/>
      <c r="AY148" s="61"/>
      <c r="BC148" s="1">
        <f>IF(Z148&lt;('[1]DCDC Ref'!$J$24/'[1]DCDC Ref'!$J$26)*'[1]DCDC Ref'!$J$28/100,0,1)</f>
        <v>1</v>
      </c>
      <c r="BD148" s="66">
        <f>IF(BC148=1000000000,"",('All Data'!Q148-'[1]DCDC Ref'!$J$30)/'[1]DCDC Ref'!$J$30*100)</f>
        <v>422.1978021978021</v>
      </c>
      <c r="BE148" s="67">
        <f t="shared" si="20"/>
        <v>422.1978021978021</v>
      </c>
      <c r="BF148" s="67"/>
      <c r="BG148" s="66"/>
      <c r="BH148" s="68">
        <f t="shared" si="17"/>
        <v>0</v>
      </c>
      <c r="BI148" s="67"/>
      <c r="BJ148" s="1">
        <f>IF(BC148=0,"",('All Data'!Z148-'[1]DCDC Ref'!$J$28*('[1]DCDC Ref'!$J$29/100))/'[1]DCDC Ref'!$J$28*('[1]DCDC Ref'!$J$29/100)*100)</f>
        <v>103.51724137931031</v>
      </c>
      <c r="BK148" s="68">
        <f t="shared" si="18"/>
        <v>103.51724137931031</v>
      </c>
      <c r="BL148" s="68"/>
      <c r="BM148" s="68"/>
      <c r="BN148" s="68"/>
      <c r="BO148" s="68"/>
      <c r="BQ148" s="5">
        <f t="shared" si="21"/>
        <v>2111506.597195907</v>
      </c>
      <c r="BR148" s="5">
        <f>IF(BQ148="","",RANK(BQ148,BQ$11:BQ$9930,1)+COUNTIF(BQ$11:BQ148,BQ148)-1)</f>
        <v>65</v>
      </c>
      <c r="BS148" s="69">
        <f t="shared" si="19"/>
        <v>65</v>
      </c>
      <c r="BT148" s="1" t="str">
        <f>IFERROR(INDEX($O$11:$O$1013,MATCH(ROWS($BS$11:BS148),$BS$11:$BS$1005,0)),"")</f>
        <v>ETQP4M470KFM</v>
      </c>
      <c r="BU148" s="69" t="str">
        <f t="shared" si="22"/>
        <v>ETQP4M470KFM</v>
      </c>
    </row>
    <row r="149" spans="2:73">
      <c r="B149" s="1" t="s">
        <v>109</v>
      </c>
      <c r="C149" s="24" t="s">
        <v>503</v>
      </c>
      <c r="D149" s="1" t="s">
        <v>110</v>
      </c>
      <c r="E149" s="2"/>
      <c r="F149" s="1" t="s">
        <v>111</v>
      </c>
      <c r="G149" s="2" t="s">
        <v>112</v>
      </c>
      <c r="H149" s="1" t="s">
        <v>504</v>
      </c>
      <c r="I149" s="2" t="s">
        <v>114</v>
      </c>
      <c r="J149" s="1" t="s">
        <v>115</v>
      </c>
      <c r="K149" s="1" t="s">
        <v>134</v>
      </c>
      <c r="L149" s="1" t="s">
        <v>493</v>
      </c>
      <c r="M149" s="1" t="s">
        <v>136</v>
      </c>
      <c r="N149" s="1" t="s">
        <v>119</v>
      </c>
      <c r="O149" s="59" t="s">
        <v>510</v>
      </c>
      <c r="P149" s="60" t="str">
        <f>MID(All_PCC_a[[#This Row],[Part Number]],7,3)</f>
        <v>R10</v>
      </c>
      <c r="Q149" s="61">
        <v>0.105</v>
      </c>
      <c r="R149" s="71" t="str">
        <f>IF(All_PCC_a[[#This Row],[Lo (uH)]]&lt;1,"&lt;1",IF(All_PCC_a[[#This Row],[Lo (uH)]]&lt;10,"&lt;10",IF(All_PCC_a[[#This Row],[Lo (uH)]]&lt;100,"&lt;100",IF(All_PCC_a[[#This Row],[Lo (uH)]]&lt;2000,"&lt;2000",""))))</f>
        <v>&lt;1</v>
      </c>
      <c r="S149" s="61" t="str">
        <f>IFERROR(VLOOKUP(All_PCC_a[[#This Row],[Lo (uH)]],[1]Utility!$D$5:$E$43,2,1),"-")</f>
        <v>≤    0.1</v>
      </c>
      <c r="T149" s="62">
        <v>0.2</v>
      </c>
      <c r="U149" s="70">
        <v>1.52</v>
      </c>
      <c r="V149" s="70">
        <v>1.67</v>
      </c>
      <c r="W149" s="80">
        <v>10</v>
      </c>
      <c r="X149" s="71">
        <v>22.7</v>
      </c>
      <c r="Y149" s="61">
        <v>18.899999999999999</v>
      </c>
      <c r="Z149" s="64">
        <v>37.299999999999997</v>
      </c>
      <c r="AA149" s="61">
        <v>25.5</v>
      </c>
      <c r="AB149" s="61">
        <v>5.5</v>
      </c>
      <c r="AC149" s="61">
        <v>5</v>
      </c>
      <c r="AD149" s="61">
        <v>3</v>
      </c>
      <c r="AE149" s="1">
        <f>ROUND(All_PCC_a[[#This Row],[L (mm)]]*All_PCC_a[[#This Row],[W (mm)]],1)</f>
        <v>27.5</v>
      </c>
      <c r="AF149" s="61" t="str">
        <f>All_PCC_a[[#This Row],[L (mm)]]&amp;"  x  "&amp;All_PCC_a[[#This Row],[W (mm)]]</f>
        <v>5,5  x  5</v>
      </c>
      <c r="AG149" s="65" t="s">
        <v>495</v>
      </c>
      <c r="AH149" s="71" t="str">
        <f>IF(All_PCC_a[[#This Row],[Max Height (mm)]]&lt;=9,"≤ "&amp;ROUNDUP(AD149,0),"≤"&amp;ROUNDUP(AD149,0))</f>
        <v>≤ 3</v>
      </c>
      <c r="AI149" s="1">
        <v>-55</v>
      </c>
      <c r="AJ149" s="1">
        <v>155</v>
      </c>
      <c r="AK149" s="1" t="str">
        <f>All_PCC_a[[#This Row],[Min Temp (deg.C)]]&amp;" to +"&amp;All_PCC_a[[#This Row],[Max Temp (deg.C)]]</f>
        <v>-55 to +155</v>
      </c>
      <c r="AL149" s="1"/>
      <c r="AO149" s="61" t="s">
        <v>122</v>
      </c>
      <c r="AP149" s="71" t="s">
        <v>122</v>
      </c>
      <c r="AQ149" s="61" t="s">
        <v>122</v>
      </c>
      <c r="AR149" s="61" t="s">
        <v>122</v>
      </c>
      <c r="AS149" s="1" t="s">
        <v>511</v>
      </c>
      <c r="AT149" s="1" t="s">
        <v>140</v>
      </c>
      <c r="AU149" s="1" t="e" vm="1">
        <f ca="1">_xlfn.IMAGE(All_PCC_a[[#This Row],[Image URL]])</f>
        <v>#NAME?</v>
      </c>
      <c r="AW149" s="1"/>
      <c r="AX149" s="61"/>
      <c r="AY149" s="61"/>
      <c r="BC149" s="1">
        <f>IF(Z149&lt;('[1]DCDC Ref'!$J$24/'[1]DCDC Ref'!$J$26)*'[1]DCDC Ref'!$J$28/100,0,1)</f>
        <v>1</v>
      </c>
      <c r="BD149" s="66">
        <f>IF(BC149=1000000000,"",('All Data'!Q149-'[1]DCDC Ref'!$J$30)/'[1]DCDC Ref'!$J$30*100)</f>
        <v>-83.384615384615387</v>
      </c>
      <c r="BE149" s="67">
        <f t="shared" si="20"/>
        <v>83.384615384615387</v>
      </c>
      <c r="BF149" s="67"/>
      <c r="BG149" s="66"/>
      <c r="BH149" s="68">
        <f t="shared" si="17"/>
        <v>0</v>
      </c>
      <c r="BI149" s="67"/>
      <c r="BJ149" s="1">
        <f>IF(BC149=0,"",('All Data'!Z149-'[1]DCDC Ref'!$J$28*('[1]DCDC Ref'!$J$29/100))/'[1]DCDC Ref'!$J$28*('[1]DCDC Ref'!$J$29/100)*100)</f>
        <v>234.41379310344823</v>
      </c>
      <c r="BK149" s="68">
        <f t="shared" si="18"/>
        <v>234.41379310344823</v>
      </c>
      <c r="BL149" s="68"/>
      <c r="BM149" s="68"/>
      <c r="BN149" s="68"/>
      <c r="BO149" s="68"/>
      <c r="BQ149" s="5">
        <f t="shared" si="21"/>
        <v>418095.14588859415</v>
      </c>
      <c r="BR149" s="5">
        <f>IF(BQ149="","",RANK(BQ149,BQ$11:BQ$9930,1)+COUNTIF(BQ$11:BQ149,BQ149)-1)</f>
        <v>28</v>
      </c>
      <c r="BS149" s="69">
        <f t="shared" si="19"/>
        <v>28</v>
      </c>
      <c r="BT149" s="1" t="str">
        <f>IFERROR(INDEX($O$11:$O$1013,MATCH(ROWS($BS$11:BS149),$BS$11:$BS$1005,0)),"")</f>
        <v>ETQP4M470KFN</v>
      </c>
      <c r="BU149" s="69" t="str">
        <f t="shared" si="22"/>
        <v>ETQP4M470KFN</v>
      </c>
    </row>
    <row r="150" spans="2:73">
      <c r="B150" s="1" t="s">
        <v>109</v>
      </c>
      <c r="C150" s="24" t="s">
        <v>503</v>
      </c>
      <c r="D150" s="1" t="s">
        <v>110</v>
      </c>
      <c r="E150" s="2"/>
      <c r="F150" s="1" t="s">
        <v>111</v>
      </c>
      <c r="G150" s="2" t="s">
        <v>112</v>
      </c>
      <c r="H150" s="1" t="s">
        <v>504</v>
      </c>
      <c r="I150" s="2" t="s">
        <v>114</v>
      </c>
      <c r="J150" s="1" t="s">
        <v>115</v>
      </c>
      <c r="K150" s="1" t="s">
        <v>273</v>
      </c>
      <c r="L150" s="1" t="s">
        <v>512</v>
      </c>
      <c r="M150" s="1" t="s">
        <v>315</v>
      </c>
      <c r="N150" s="1" t="s">
        <v>119</v>
      </c>
      <c r="O150" s="59" t="s">
        <v>513</v>
      </c>
      <c r="P150" s="60" t="str">
        <f>MID(All_PCC_a[[#This Row],[Part Number]],7,3)</f>
        <v>R47</v>
      </c>
      <c r="Q150" s="61">
        <v>0.47</v>
      </c>
      <c r="R150" s="71" t="str">
        <f>IF(All_PCC_a[[#This Row],[Lo (uH)]]&lt;1,"&lt;1",IF(All_PCC_a[[#This Row],[Lo (uH)]]&lt;10,"&lt;10",IF(All_PCC_a[[#This Row],[Lo (uH)]]&lt;100,"&lt;100",IF(All_PCC_a[[#This Row],[Lo (uH)]]&lt;2000,"&lt;2000",""))))</f>
        <v>&lt;1</v>
      </c>
      <c r="S150" s="61" t="str">
        <f>IFERROR(VLOOKUP(All_PCC_a[[#This Row],[Lo (uH)]],[1]Utility!$D$5:$E$43,2,1),"-")</f>
        <v>≤    0.5</v>
      </c>
      <c r="T150" s="62">
        <v>0.2</v>
      </c>
      <c r="U150" s="70">
        <v>3.3</v>
      </c>
      <c r="V150" s="70">
        <v>3.63</v>
      </c>
      <c r="W150" s="80">
        <v>10</v>
      </c>
      <c r="X150" s="71">
        <v>19.8</v>
      </c>
      <c r="Y150" s="61">
        <v>14.7</v>
      </c>
      <c r="Z150" s="64">
        <v>29.8</v>
      </c>
      <c r="AA150" s="61">
        <v>21.7</v>
      </c>
      <c r="AB150" s="61">
        <v>7.4</v>
      </c>
      <c r="AC150" s="61">
        <v>7</v>
      </c>
      <c r="AD150" s="61">
        <v>4.8</v>
      </c>
      <c r="AE150" s="1">
        <f>ROUND(All_PCC_a[[#This Row],[L (mm)]]*All_PCC_a[[#This Row],[W (mm)]],1)</f>
        <v>51.8</v>
      </c>
      <c r="AF150" s="61" t="str">
        <f>All_PCC_a[[#This Row],[L (mm)]]&amp;"  x  "&amp;All_PCC_a[[#This Row],[W (mm)]]</f>
        <v>7,4  x  7</v>
      </c>
      <c r="AG150" s="74" t="s">
        <v>282</v>
      </c>
      <c r="AH150" s="61" t="str">
        <f>IF(All_PCC_a[[#This Row],[Max Height (mm)]]&lt;=9,"≤ "&amp;ROUNDUP(AD150,0),"≤"&amp;ROUNDUP(AD150,0))</f>
        <v>≤ 5</v>
      </c>
      <c r="AI150" s="1">
        <v>-40</v>
      </c>
      <c r="AJ150" s="1">
        <v>150</v>
      </c>
      <c r="AK150" s="1" t="str">
        <f>All_PCC_a[[#This Row],[Min Temp (deg.C)]]&amp;" to +"&amp;All_PCC_a[[#This Row],[Max Temp (deg.C)]]</f>
        <v>-40 to +150</v>
      </c>
      <c r="AL150" s="1"/>
      <c r="AO150" s="61" t="s">
        <v>122</v>
      </c>
      <c r="AP150" s="71" t="s">
        <v>122</v>
      </c>
      <c r="AQ150" s="61" t="s">
        <v>122</v>
      </c>
      <c r="AR150" s="61" t="s">
        <v>122</v>
      </c>
      <c r="AS150" s="1" t="s">
        <v>514</v>
      </c>
      <c r="AT150" s="1" t="s">
        <v>278</v>
      </c>
      <c r="AU150" s="1" t="e" vm="1">
        <f ca="1">_xlfn.IMAGE(All_PCC_a[[#This Row],[Image URL]])</f>
        <v>#NAME?</v>
      </c>
      <c r="AW150" s="1"/>
      <c r="AX150" s="61"/>
      <c r="AY150" s="61"/>
      <c r="BC150" s="1">
        <f>IF(Z150&lt;('[1]DCDC Ref'!$J$24/'[1]DCDC Ref'!$J$26)*'[1]DCDC Ref'!$J$28/100,0,1)</f>
        <v>1</v>
      </c>
      <c r="BD150" s="66">
        <f>IF(BC150=1000000000,"",('All Data'!Q150-'[1]DCDC Ref'!$J$30)/'[1]DCDC Ref'!$J$30*100)</f>
        <v>-25.626373626373628</v>
      </c>
      <c r="BE150" s="67">
        <f t="shared" si="20"/>
        <v>25.626373626373628</v>
      </c>
      <c r="BF150" s="67"/>
      <c r="BG150" s="66"/>
      <c r="BH150" s="68">
        <f t="shared" si="17"/>
        <v>0</v>
      </c>
      <c r="BI150" s="67"/>
      <c r="BJ150" s="1">
        <f>IF(BC150=0,"",('All Data'!Z150-'[1]DCDC Ref'!$J$28*('[1]DCDC Ref'!$J$29/100))/'[1]DCDC Ref'!$J$28*('[1]DCDC Ref'!$J$29/100)*100)</f>
        <v>167.1724137931034</v>
      </c>
      <c r="BK150" s="68">
        <f t="shared" si="18"/>
        <v>167.1724137931034</v>
      </c>
      <c r="BL150" s="68"/>
      <c r="BM150" s="68"/>
      <c r="BN150" s="68"/>
      <c r="BO150" s="68"/>
      <c r="BQ150" s="5">
        <f t="shared" si="21"/>
        <v>128967.73020083366</v>
      </c>
      <c r="BR150" s="5">
        <f>IF(BQ150="","",RANK(BQ150,BQ$11:BQ$9930,1)+COUNTIF(BQ$11:BQ150,BQ150)-1)</f>
        <v>11</v>
      </c>
      <c r="BS150" s="69">
        <f t="shared" si="19"/>
        <v>11</v>
      </c>
      <c r="BT150" s="1" t="str">
        <f>IFERROR(INDEX($O$11:$O$1013,MATCH(ROWS($BS$11:BS150),$BS$11:$BS$1005,0)),"")</f>
        <v>ETQP5M470YFK</v>
      </c>
      <c r="BU150" s="69" t="str">
        <f t="shared" si="22"/>
        <v>ETQP5M470YFK</v>
      </c>
    </row>
    <row r="151" spans="2:73" ht="15">
      <c r="B151" s="1" t="s">
        <v>109</v>
      </c>
      <c r="C151" s="84" t="s">
        <v>515</v>
      </c>
      <c r="D151" s="1" t="s">
        <v>110</v>
      </c>
      <c r="E151" s="2"/>
      <c r="F151" s="1" t="s">
        <v>111</v>
      </c>
      <c r="G151" s="2" t="s">
        <v>112</v>
      </c>
      <c r="H151" s="1" t="s">
        <v>504</v>
      </c>
      <c r="I151" s="2" t="s">
        <v>114</v>
      </c>
      <c r="J151" s="1" t="s">
        <v>115</v>
      </c>
      <c r="K151" s="1" t="s">
        <v>116</v>
      </c>
      <c r="L151" s="1" t="s">
        <v>291</v>
      </c>
      <c r="M151" s="1" t="s">
        <v>292</v>
      </c>
      <c r="N151" s="1" t="s">
        <v>154</v>
      </c>
      <c r="O151" s="59" t="s">
        <v>516</v>
      </c>
      <c r="P151" s="60" t="str">
        <f>MID(All_PCC_a[[#This Row],[Part Number]],7,3)</f>
        <v>100</v>
      </c>
      <c r="Q151" s="61">
        <v>10</v>
      </c>
      <c r="R151" s="71" t="str">
        <f>IF(All_PCC_a[[#This Row],[Lo (uH)]]&lt;1,"&lt;1",IF(All_PCC_a[[#This Row],[Lo (uH)]]&lt;10,"&lt;10",IF(All_PCC_a[[#This Row],[Lo (uH)]]&lt;100,"&lt;100",IF(All_PCC_a[[#This Row],[Lo (uH)]]&lt;2000,"&lt;2000",""))))</f>
        <v>&lt;100</v>
      </c>
      <c r="S151" s="61" t="str">
        <f>IFERROR(VLOOKUP(All_PCC_a[[#This Row],[Lo (uH)]],[1]Utility!$D$5:$E$43,2,1),"-")</f>
        <v>≤  10</v>
      </c>
      <c r="T151" s="62">
        <v>0.2</v>
      </c>
      <c r="U151" s="70">
        <v>95</v>
      </c>
      <c r="V151" s="70">
        <v>104.5</v>
      </c>
      <c r="W151" s="80">
        <v>10</v>
      </c>
      <c r="X151" s="71">
        <v>3</v>
      </c>
      <c r="Y151" s="61">
        <v>2.5</v>
      </c>
      <c r="Z151" s="64">
        <v>3.9</v>
      </c>
      <c r="AA151" s="86">
        <v>2.75</v>
      </c>
      <c r="AB151" s="1">
        <v>5.5</v>
      </c>
      <c r="AC151" s="1">
        <v>5</v>
      </c>
      <c r="AD151" s="61">
        <v>4</v>
      </c>
      <c r="AE151" s="1">
        <f>ROUND(All_PCC_a[[#This Row],[L (mm)]]*All_PCC_a[[#This Row],[W (mm)]],1)</f>
        <v>27.5</v>
      </c>
      <c r="AF151" s="61" t="str">
        <f>All_PCC_a[[#This Row],[L (mm)]]&amp;"  x  "&amp;All_PCC_a[[#This Row],[W (mm)]]</f>
        <v>5,5  x  5</v>
      </c>
      <c r="AG151" s="65" t="s">
        <v>138</v>
      </c>
      <c r="AH151" s="61" t="str">
        <f>IF(All_PCC_a[[#This Row],[Max Height (mm)]]&lt;=9,"≤ "&amp;ROUNDUP(AD151,0),"≤"&amp;ROUNDUP(AD151,0))</f>
        <v>≤ 4</v>
      </c>
      <c r="AI151" s="11">
        <v>-40</v>
      </c>
      <c r="AJ151" s="11">
        <v>150</v>
      </c>
      <c r="AK151" s="1" t="str">
        <f>All_PCC_a[[#This Row],[Min Temp (deg.C)]]&amp;" to +"&amp;All_PCC_a[[#This Row],[Max Temp (deg.C)]]</f>
        <v>-40 to +150</v>
      </c>
      <c r="AL151" s="1"/>
      <c r="AO151" s="61" t="s">
        <v>122</v>
      </c>
      <c r="AP151" s="71" t="s">
        <v>122</v>
      </c>
      <c r="AQ151" s="61" t="s">
        <v>122</v>
      </c>
      <c r="AR151" s="61" t="s">
        <v>122</v>
      </c>
      <c r="AS151" s="1" t="s">
        <v>517</v>
      </c>
      <c r="AT151" s="1" t="s">
        <v>124</v>
      </c>
      <c r="AU151" s="1" t="e" vm="1">
        <f ca="1">_xlfn.IMAGE(All_PCC_a[[#This Row],[Image URL]])</f>
        <v>#NAME?</v>
      </c>
      <c r="AW151" s="1"/>
      <c r="AX151" s="61"/>
      <c r="AY151" s="61"/>
      <c r="BC151" s="1">
        <f>IF(Z151&lt;('[1]DCDC Ref'!$J$24/'[1]DCDC Ref'!$J$26)*'[1]DCDC Ref'!$J$28/100,0,1)</f>
        <v>1</v>
      </c>
      <c r="BD151" s="66">
        <f>IF(BC151=1000000000,"",('All Data'!Q151-'[1]DCDC Ref'!$J$30)/'[1]DCDC Ref'!$J$30*100)</f>
        <v>1482.4175824175825</v>
      </c>
      <c r="BE151" s="67">
        <f t="shared" si="20"/>
        <v>1482.4175824175825</v>
      </c>
      <c r="BF151" s="67"/>
      <c r="BG151" s="66"/>
      <c r="BH151" s="68">
        <f t="shared" si="17"/>
        <v>0</v>
      </c>
      <c r="BI151" s="67"/>
      <c r="BJ151" s="1">
        <f>IF(BC151=0,"",('All Data'!Z151-'[1]DCDC Ref'!$J$28*('[1]DCDC Ref'!$J$29/100))/'[1]DCDC Ref'!$J$28*('[1]DCDC Ref'!$J$29/100)*100)</f>
        <v>-65.034482758620697</v>
      </c>
      <c r="BK151" s="68">
        <f t="shared" si="18"/>
        <v>10000</v>
      </c>
      <c r="BL151" s="68"/>
      <c r="BM151" s="68"/>
      <c r="BN151" s="68"/>
      <c r="BO151" s="68"/>
      <c r="BQ151" s="5">
        <f t="shared" si="21"/>
        <v>7462087.9120879127</v>
      </c>
      <c r="BR151" s="5">
        <f>IF(BQ151="","",RANK(BQ151,BQ$11:BQ$9930,1)+COUNTIF(BQ$11:BQ151,BQ151)-1)</f>
        <v>105</v>
      </c>
      <c r="BS151" s="69">
        <f t="shared" si="19"/>
        <v>105</v>
      </c>
      <c r="BT151" s="1" t="str">
        <f>IFERROR(INDEX($O$11:$O$1013,MATCH(ROWS($BS$11:BS151),$BS$11:$BS$1005,0)),"")</f>
        <v>ETQP5M470YFM</v>
      </c>
      <c r="BU151" s="69" t="str">
        <f t="shared" si="22"/>
        <v>ETQP5M470YFM</v>
      </c>
    </row>
    <row r="152" spans="2:73" ht="15">
      <c r="B152" s="1" t="s">
        <v>109</v>
      </c>
      <c r="C152" s="84" t="s">
        <v>518</v>
      </c>
      <c r="D152" s="1" t="s">
        <v>110</v>
      </c>
      <c r="E152" s="2"/>
      <c r="F152" s="1" t="s">
        <v>111</v>
      </c>
      <c r="G152" s="2" t="s">
        <v>112</v>
      </c>
      <c r="H152" s="1" t="s">
        <v>504</v>
      </c>
      <c r="I152" s="2" t="s">
        <v>114</v>
      </c>
      <c r="J152" s="1" t="s">
        <v>115</v>
      </c>
      <c r="K152" s="1" t="s">
        <v>134</v>
      </c>
      <c r="L152" s="1" t="s">
        <v>519</v>
      </c>
      <c r="M152" s="1" t="s">
        <v>165</v>
      </c>
      <c r="N152" s="1" t="s">
        <v>154</v>
      </c>
      <c r="O152" s="59" t="s">
        <v>520</v>
      </c>
      <c r="P152" s="60" t="str">
        <f>MID(All_PCC_a[[#This Row],[Part Number]],7,3)</f>
        <v>R47</v>
      </c>
      <c r="Q152" s="61">
        <v>0.47</v>
      </c>
      <c r="R152" s="71" t="str">
        <f>IF(All_PCC_a[[#This Row],[Lo (uH)]]&lt;1,"&lt;1",IF(All_PCC_a[[#This Row],[Lo (uH)]]&lt;10,"&lt;10",IF(All_PCC_a[[#This Row],[Lo (uH)]]&lt;100,"&lt;100",IF(All_PCC_a[[#This Row],[Lo (uH)]]&lt;2000,"&lt;2000",""))))</f>
        <v>&lt;1</v>
      </c>
      <c r="S152" s="61" t="str">
        <f>IFERROR(VLOOKUP(All_PCC_a[[#This Row],[Lo (uH)]],[1]Utility!$D$5:$E$43,2,1),"-")</f>
        <v>≤    0.5</v>
      </c>
      <c r="T152" s="62">
        <v>0.2</v>
      </c>
      <c r="U152" s="70">
        <v>3.7</v>
      </c>
      <c r="V152" s="70">
        <v>4.07</v>
      </c>
      <c r="W152" s="80">
        <v>10</v>
      </c>
      <c r="X152" s="71">
        <v>15.7</v>
      </c>
      <c r="Y152" s="61">
        <v>12.8</v>
      </c>
      <c r="Z152" s="64">
        <v>20</v>
      </c>
      <c r="AA152" s="61">
        <v>15.5</v>
      </c>
      <c r="AB152" s="61">
        <v>6</v>
      </c>
      <c r="AC152" s="61">
        <v>6.4</v>
      </c>
      <c r="AD152" s="61">
        <v>3</v>
      </c>
      <c r="AE152" s="1">
        <f>ROUND(All_PCC_a[[#This Row],[L (mm)]]*All_PCC_a[[#This Row],[W (mm)]],1)</f>
        <v>38.4</v>
      </c>
      <c r="AF152" s="61" t="str">
        <f>All_PCC_a[[#This Row],[L (mm)]]&amp;"  x  "&amp;All_PCC_a[[#This Row],[W (mm)]]</f>
        <v>6  x  6,4</v>
      </c>
      <c r="AG152" s="65" t="s">
        <v>521</v>
      </c>
      <c r="AH152" s="61" t="str">
        <f>IF(All_PCC_a[[#This Row],[Max Height (mm)]]&lt;=9,"≤ "&amp;ROUNDUP(AD152,0),"≤"&amp;ROUNDUP(AD152,0))</f>
        <v>≤ 3</v>
      </c>
      <c r="AI152" s="1">
        <v>-55</v>
      </c>
      <c r="AJ152" s="1">
        <v>155</v>
      </c>
      <c r="AK152" s="1" t="str">
        <f>All_PCC_a[[#This Row],[Min Temp (deg.C)]]&amp;" to +"&amp;All_PCC_a[[#This Row],[Max Temp (deg.C)]]</f>
        <v>-55 to +155</v>
      </c>
      <c r="AL152" s="1"/>
      <c r="AO152" s="61" t="s">
        <v>122</v>
      </c>
      <c r="AP152" s="71" t="s">
        <v>122</v>
      </c>
      <c r="AQ152" s="61" t="s">
        <v>122</v>
      </c>
      <c r="AR152" s="61" t="s">
        <v>122</v>
      </c>
      <c r="AS152" s="1" t="s">
        <v>522</v>
      </c>
      <c r="AT152" s="1" t="s">
        <v>140</v>
      </c>
      <c r="AU152" s="1" t="e" vm="1">
        <f ca="1">_xlfn.IMAGE(All_PCC_a[[#This Row],[Image URL]])</f>
        <v>#NAME?</v>
      </c>
      <c r="AW152" s="1"/>
      <c r="AX152" s="61"/>
      <c r="AY152" s="61"/>
      <c r="BC152" s="1">
        <f>IF(Z152&lt;('[1]DCDC Ref'!$J$24/'[1]DCDC Ref'!$J$26)*'[1]DCDC Ref'!$J$28/100,0,1)</f>
        <v>1</v>
      </c>
      <c r="BD152" s="66">
        <f>IF(BC152=1000000000,"",('All Data'!Q152-'[1]DCDC Ref'!$J$30)/'[1]DCDC Ref'!$J$30*100)</f>
        <v>-25.626373626373628</v>
      </c>
      <c r="BE152" s="67">
        <f t="shared" si="20"/>
        <v>25.626373626373628</v>
      </c>
      <c r="BF152" s="67"/>
      <c r="BG152" s="66"/>
      <c r="BH152" s="68">
        <f t="shared" si="17"/>
        <v>0</v>
      </c>
      <c r="BI152" s="67"/>
      <c r="BJ152" s="1">
        <f>IF(BC152=0,"",('All Data'!Z152-'[1]DCDC Ref'!$J$28*('[1]DCDC Ref'!$J$29/100))/'[1]DCDC Ref'!$J$28*('[1]DCDC Ref'!$J$29/100)*100)</f>
        <v>79.310344827586192</v>
      </c>
      <c r="BK152" s="68">
        <f t="shared" si="18"/>
        <v>79.310344827586192</v>
      </c>
      <c r="BL152" s="68"/>
      <c r="BM152" s="68"/>
      <c r="BN152" s="68"/>
      <c r="BO152" s="68"/>
      <c r="BQ152" s="5">
        <f t="shared" si="21"/>
        <v>128528.41985600606</v>
      </c>
      <c r="BR152" s="5">
        <f>IF(BQ152="","",RANK(BQ152,BQ$11:BQ$9930,1)+COUNTIF(BQ$11:BQ152,BQ152)-1)</f>
        <v>10</v>
      </c>
      <c r="BS152" s="69">
        <f t="shared" si="19"/>
        <v>10</v>
      </c>
      <c r="BT152" s="1" t="str">
        <f>IFERROR(INDEX($O$11:$O$1013,MATCH(ROWS($BS$11:BS152),$BS$11:$BS$1005,0)),"")</f>
        <v>ETQP5M680YFC</v>
      </c>
      <c r="BU152" s="69" t="str">
        <f t="shared" si="22"/>
        <v>ETQP5M680YFC</v>
      </c>
    </row>
    <row r="153" spans="2:73" ht="15">
      <c r="B153" s="1" t="s">
        <v>109</v>
      </c>
      <c r="C153" s="84" t="s">
        <v>523</v>
      </c>
      <c r="D153" s="1" t="s">
        <v>110</v>
      </c>
      <c r="E153" s="2"/>
      <c r="F153" s="1" t="s">
        <v>111</v>
      </c>
      <c r="G153" s="2" t="s">
        <v>112</v>
      </c>
      <c r="H153" s="1" t="s">
        <v>504</v>
      </c>
      <c r="I153" s="2" t="s">
        <v>114</v>
      </c>
      <c r="J153" s="1" t="s">
        <v>115</v>
      </c>
      <c r="K153" s="1" t="s">
        <v>273</v>
      </c>
      <c r="L153" s="1" t="s">
        <v>512</v>
      </c>
      <c r="M153" s="1" t="s">
        <v>524</v>
      </c>
      <c r="N153" s="1" t="s">
        <v>154</v>
      </c>
      <c r="O153" s="59" t="s">
        <v>525</v>
      </c>
      <c r="P153" s="60" t="str">
        <f>MID(All_PCC_a[[#This Row],[Part Number]],7,3)</f>
        <v>1R2</v>
      </c>
      <c r="Q153" s="61">
        <v>1.2</v>
      </c>
      <c r="R153" s="71" t="str">
        <f>IF(All_PCC_a[[#This Row],[Lo (uH)]]&lt;1,"&lt;1",IF(All_PCC_a[[#This Row],[Lo (uH)]]&lt;10,"&lt;10",IF(All_PCC_a[[#This Row],[Lo (uH)]]&lt;100,"&lt;100",IF(All_PCC_a[[#This Row],[Lo (uH)]]&lt;2000,"&lt;2000",""))))</f>
        <v>&lt;10</v>
      </c>
      <c r="S153" s="61" t="str">
        <f>IFERROR(VLOOKUP(All_PCC_a[[#This Row],[Lo (uH)]],[1]Utility!$D$5:$E$43,2,1),"-")</f>
        <v>≤   2</v>
      </c>
      <c r="T153" s="62">
        <v>0.2</v>
      </c>
      <c r="U153" s="70">
        <v>6.6</v>
      </c>
      <c r="V153" s="70">
        <v>7.26</v>
      </c>
      <c r="W153" s="80">
        <v>10</v>
      </c>
      <c r="X153" s="71">
        <v>14</v>
      </c>
      <c r="Y153" s="61">
        <v>10.4</v>
      </c>
      <c r="Z153" s="64">
        <v>20.7</v>
      </c>
      <c r="AA153" s="61">
        <v>15.8</v>
      </c>
      <c r="AB153" s="61">
        <v>7.4</v>
      </c>
      <c r="AC153" s="61">
        <v>7</v>
      </c>
      <c r="AD153" s="61">
        <v>4.8</v>
      </c>
      <c r="AE153" s="1">
        <f>ROUND(All_PCC_a[[#This Row],[L (mm)]]*All_PCC_a[[#This Row],[W (mm)]],1)</f>
        <v>51.8</v>
      </c>
      <c r="AF153" s="61" t="str">
        <f>All_PCC_a[[#This Row],[L (mm)]]&amp;"  x  "&amp;All_PCC_a[[#This Row],[W (mm)]]</f>
        <v>7,4  x  7</v>
      </c>
      <c r="AG153" s="74" t="s">
        <v>282</v>
      </c>
      <c r="AH153" s="61" t="str">
        <f>IF(All_PCC_a[[#This Row],[Max Height (mm)]]&lt;=9,"≤ "&amp;ROUNDUP(AD153,0),"≤"&amp;ROUNDUP(AD153,0))</f>
        <v>≤ 5</v>
      </c>
      <c r="AI153" s="1">
        <v>-40</v>
      </c>
      <c r="AJ153" s="1">
        <v>150</v>
      </c>
      <c r="AK153" s="1" t="str">
        <f>All_PCC_a[[#This Row],[Min Temp (deg.C)]]&amp;" to +"&amp;All_PCC_a[[#This Row],[Max Temp (deg.C)]]</f>
        <v>-40 to +150</v>
      </c>
      <c r="AL153" s="1"/>
      <c r="AO153" s="61" t="s">
        <v>122</v>
      </c>
      <c r="AP153" s="71" t="s">
        <v>122</v>
      </c>
      <c r="AQ153" s="61" t="s">
        <v>122</v>
      </c>
      <c r="AR153" s="61" t="s">
        <v>122</v>
      </c>
      <c r="AS153" s="1" t="s">
        <v>514</v>
      </c>
      <c r="AT153" s="1" t="s">
        <v>278</v>
      </c>
      <c r="AU153" s="1" t="e" vm="1">
        <f ca="1">_xlfn.IMAGE(All_PCC_a[[#This Row],[Image URL]])</f>
        <v>#NAME?</v>
      </c>
      <c r="AW153" s="1"/>
      <c r="AX153" s="61"/>
      <c r="AY153" s="61"/>
      <c r="BC153" s="1">
        <f>IF(Z153&lt;('[1]DCDC Ref'!$J$24/'[1]DCDC Ref'!$J$26)*'[1]DCDC Ref'!$J$28/100,0,1)</f>
        <v>1</v>
      </c>
      <c r="BD153" s="66">
        <f>IF(BC153=1000000000,"",('All Data'!Q153-'[1]DCDC Ref'!$J$30)/'[1]DCDC Ref'!$J$30*100)</f>
        <v>89.890109890109898</v>
      </c>
      <c r="BE153" s="67">
        <f t="shared" si="20"/>
        <v>89.890109890109898</v>
      </c>
      <c r="BF153" s="67"/>
      <c r="BG153" s="66"/>
      <c r="BH153" s="68">
        <f t="shared" si="17"/>
        <v>0</v>
      </c>
      <c r="BI153" s="67"/>
      <c r="BJ153" s="1">
        <f>IF(BC153=0,"",('All Data'!Z153-'[1]DCDC Ref'!$J$28*('[1]DCDC Ref'!$J$29/100))/'[1]DCDC Ref'!$J$28*('[1]DCDC Ref'!$J$29/100)*100)</f>
        <v>85.586206896551701</v>
      </c>
      <c r="BK153" s="68">
        <f t="shared" si="18"/>
        <v>85.586206896551701</v>
      </c>
      <c r="BL153" s="68"/>
      <c r="BM153" s="68"/>
      <c r="BN153" s="68"/>
      <c r="BO153" s="68"/>
      <c r="BQ153" s="5">
        <f t="shared" si="21"/>
        <v>449878.48048503225</v>
      </c>
      <c r="BR153" s="5">
        <f>IF(BQ153="","",RANK(BQ153,BQ$11:BQ$9930,1)+COUNTIF(BQ$11:BQ153,BQ153)-1)</f>
        <v>29</v>
      </c>
      <c r="BS153" s="69">
        <f t="shared" si="19"/>
        <v>29</v>
      </c>
      <c r="BT153" s="1" t="str">
        <f>IFERROR(INDEX($O$11:$O$1013,MATCH(ROWS($BS$11:BS153),$BS$11:$BS$1005,0)),"")</f>
        <v>ETQP5M680YFM</v>
      </c>
      <c r="BU153" s="69" t="str">
        <f t="shared" si="22"/>
        <v>ETQP5M680YFM</v>
      </c>
    </row>
    <row r="154" spans="2:73" ht="15">
      <c r="B154" s="1" t="s">
        <v>109</v>
      </c>
      <c r="C154" s="84" t="s">
        <v>523</v>
      </c>
      <c r="D154" s="1" t="s">
        <v>110</v>
      </c>
      <c r="E154" s="2"/>
      <c r="F154" s="1" t="s">
        <v>111</v>
      </c>
      <c r="G154" s="2" t="s">
        <v>112</v>
      </c>
      <c r="H154" s="1" t="s">
        <v>504</v>
      </c>
      <c r="I154" s="2" t="s">
        <v>114</v>
      </c>
      <c r="J154" s="1" t="s">
        <v>115</v>
      </c>
      <c r="K154" s="1" t="s">
        <v>273</v>
      </c>
      <c r="L154" s="1" t="s">
        <v>512</v>
      </c>
      <c r="M154" s="1" t="s">
        <v>524</v>
      </c>
      <c r="N154" s="1" t="s">
        <v>154</v>
      </c>
      <c r="O154" s="59" t="s">
        <v>526</v>
      </c>
      <c r="P154" s="60" t="str">
        <f>MID(All_PCC_a[[#This Row],[Part Number]],7,3)</f>
        <v>1R5</v>
      </c>
      <c r="Q154" s="61">
        <v>1.5</v>
      </c>
      <c r="R154" s="71" t="str">
        <f>IF(All_PCC_a[[#This Row],[Lo (uH)]]&lt;1,"&lt;1",IF(All_PCC_a[[#This Row],[Lo (uH)]]&lt;10,"&lt;10",IF(All_PCC_a[[#This Row],[Lo (uH)]]&lt;100,"&lt;100",IF(All_PCC_a[[#This Row],[Lo (uH)]]&lt;2000,"&lt;2000",""))))</f>
        <v>&lt;10</v>
      </c>
      <c r="S154" s="61" t="str">
        <f>IFERROR(VLOOKUP(All_PCC_a[[#This Row],[Lo (uH)]],[1]Utility!$D$5:$E$43,2,1),"-")</f>
        <v>≤   2</v>
      </c>
      <c r="T154" s="62">
        <v>0.2</v>
      </c>
      <c r="U154" s="70">
        <v>8.1</v>
      </c>
      <c r="V154" s="70">
        <v>8.91</v>
      </c>
      <c r="W154" s="80">
        <v>10</v>
      </c>
      <c r="X154" s="71">
        <v>12.6</v>
      </c>
      <c r="Y154" s="61">
        <v>9.3000000000000007</v>
      </c>
      <c r="Z154" s="64">
        <v>18.2</v>
      </c>
      <c r="AA154" s="61">
        <v>12.5</v>
      </c>
      <c r="AB154" s="61">
        <v>7.4</v>
      </c>
      <c r="AC154" s="61">
        <v>7</v>
      </c>
      <c r="AD154" s="61">
        <v>4.8</v>
      </c>
      <c r="AE154" s="1">
        <f>ROUND(All_PCC_a[[#This Row],[L (mm)]]*All_PCC_a[[#This Row],[W (mm)]],1)</f>
        <v>51.8</v>
      </c>
      <c r="AF154" s="61" t="str">
        <f>All_PCC_a[[#This Row],[L (mm)]]&amp;"  x  "&amp;All_PCC_a[[#This Row],[W (mm)]]</f>
        <v>7,4  x  7</v>
      </c>
      <c r="AG154" s="74" t="s">
        <v>282</v>
      </c>
      <c r="AH154" s="61" t="str">
        <f>IF(All_PCC_a[[#This Row],[Max Height (mm)]]&lt;=9,"≤ "&amp;ROUNDUP(AD154,0),"≤"&amp;ROUNDUP(AD154,0))</f>
        <v>≤ 5</v>
      </c>
      <c r="AI154" s="1">
        <v>-40</v>
      </c>
      <c r="AJ154" s="1">
        <v>150</v>
      </c>
      <c r="AK154" s="1" t="str">
        <f>All_PCC_a[[#This Row],[Min Temp (deg.C)]]&amp;" to +"&amp;All_PCC_a[[#This Row],[Max Temp (deg.C)]]</f>
        <v>-40 to +150</v>
      </c>
      <c r="AL154" s="1"/>
      <c r="AO154" s="61" t="s">
        <v>122</v>
      </c>
      <c r="AP154" s="71" t="s">
        <v>122</v>
      </c>
      <c r="AQ154" s="61" t="s">
        <v>122</v>
      </c>
      <c r="AR154" s="61" t="s">
        <v>122</v>
      </c>
      <c r="AS154" s="1" t="s">
        <v>514</v>
      </c>
      <c r="AT154" s="1" t="s">
        <v>278</v>
      </c>
      <c r="AU154" s="1" t="e" vm="1">
        <f ca="1">_xlfn.IMAGE(All_PCC_a[[#This Row],[Image URL]])</f>
        <v>#NAME?</v>
      </c>
      <c r="AW154" s="1"/>
      <c r="AX154" s="61"/>
      <c r="AY154" s="61"/>
      <c r="BC154" s="1">
        <f>IF(Z154&lt;('[1]DCDC Ref'!$J$24/'[1]DCDC Ref'!$J$26)*'[1]DCDC Ref'!$J$28/100,0,1)</f>
        <v>1</v>
      </c>
      <c r="BD154" s="66">
        <f>IF(BC154=1000000000,"",('All Data'!Q154-'[1]DCDC Ref'!$J$30)/'[1]DCDC Ref'!$J$30*100)</f>
        <v>137.36263736263737</v>
      </c>
      <c r="BE154" s="67">
        <f t="shared" si="20"/>
        <v>137.36263736263737</v>
      </c>
      <c r="BF154" s="67"/>
      <c r="BG154" s="66"/>
      <c r="BH154" s="68">
        <f t="shared" si="17"/>
        <v>0</v>
      </c>
      <c r="BI154" s="67"/>
      <c r="BJ154" s="1">
        <f>IF(BC154=0,"",('All Data'!Z154-'[1]DCDC Ref'!$J$28*('[1]DCDC Ref'!$J$29/100))/'[1]DCDC Ref'!$J$28*('[1]DCDC Ref'!$J$29/100)*100)</f>
        <v>63.172413793103424</v>
      </c>
      <c r="BK154" s="68">
        <f t="shared" si="18"/>
        <v>63.172413793103424</v>
      </c>
      <c r="BL154" s="68"/>
      <c r="BM154" s="68"/>
      <c r="BN154" s="68"/>
      <c r="BO154" s="68"/>
      <c r="BQ154" s="5">
        <f t="shared" si="21"/>
        <v>687129.04888215242</v>
      </c>
      <c r="BR154" s="5">
        <f>IF(BQ154="","",RANK(BQ154,BQ$11:BQ$9930,1)+COUNTIF(BQ$11:BQ154,BQ154)-1)</f>
        <v>32</v>
      </c>
      <c r="BS154" s="69">
        <f t="shared" si="19"/>
        <v>32</v>
      </c>
      <c r="BT154" s="1" t="str">
        <f>IFERROR(INDEX($O$11:$O$1013,MATCH(ROWS($BS$11:BS154),$BS$11:$BS$1005,0)),"")</f>
        <v>ETQP4M680KVC</v>
      </c>
      <c r="BU154" s="69" t="str">
        <f t="shared" si="22"/>
        <v>ETQP4M680KVC</v>
      </c>
    </row>
    <row r="155" spans="2:73" ht="15">
      <c r="B155" s="1" t="s">
        <v>109</v>
      </c>
      <c r="C155" s="84" t="s">
        <v>523</v>
      </c>
      <c r="D155" s="1" t="s">
        <v>110</v>
      </c>
      <c r="E155" s="2"/>
      <c r="F155" s="1" t="s">
        <v>111</v>
      </c>
      <c r="G155" s="2" t="s">
        <v>112</v>
      </c>
      <c r="H155" s="1" t="s">
        <v>504</v>
      </c>
      <c r="I155" s="2" t="s">
        <v>114</v>
      </c>
      <c r="J155" s="1" t="s">
        <v>115</v>
      </c>
      <c r="K155" s="1" t="s">
        <v>273</v>
      </c>
      <c r="L155" s="1" t="s">
        <v>512</v>
      </c>
      <c r="M155" s="1" t="s">
        <v>524</v>
      </c>
      <c r="N155" s="1" t="s">
        <v>154</v>
      </c>
      <c r="O155" s="59" t="s">
        <v>527</v>
      </c>
      <c r="P155" s="60" t="str">
        <f>MID(All_PCC_a[[#This Row],[Part Number]],7,3)</f>
        <v>2R2</v>
      </c>
      <c r="Q155" s="61">
        <v>2.2000000000000002</v>
      </c>
      <c r="R155" s="71" t="str">
        <f>IF(All_PCC_a[[#This Row],[Lo (uH)]]&lt;1,"&lt;1",IF(All_PCC_a[[#This Row],[Lo (uH)]]&lt;10,"&lt;10",IF(All_PCC_a[[#This Row],[Lo (uH)]]&lt;100,"&lt;100",IF(All_PCC_a[[#This Row],[Lo (uH)]]&lt;2000,"&lt;2000",""))))</f>
        <v>&lt;10</v>
      </c>
      <c r="S155" s="61" t="str">
        <f>IFERROR(VLOOKUP(All_PCC_a[[#This Row],[Lo (uH)]],[1]Utility!$D$5:$E$43,2,1),"-")</f>
        <v>≤   3</v>
      </c>
      <c r="T155" s="62">
        <v>0.2</v>
      </c>
      <c r="U155" s="70">
        <v>9.5</v>
      </c>
      <c r="V155" s="70">
        <v>10.45</v>
      </c>
      <c r="W155" s="80">
        <v>10</v>
      </c>
      <c r="X155" s="71">
        <v>11.7</v>
      </c>
      <c r="Y155" s="61">
        <v>8.6</v>
      </c>
      <c r="Z155" s="64">
        <v>16.100000000000001</v>
      </c>
      <c r="AA155" s="61">
        <v>11</v>
      </c>
      <c r="AB155" s="61">
        <v>7.4</v>
      </c>
      <c r="AC155" s="61">
        <v>7</v>
      </c>
      <c r="AD155" s="61">
        <v>4.8</v>
      </c>
      <c r="AE155" s="1">
        <f>ROUND(All_PCC_a[[#This Row],[L (mm)]]*All_PCC_a[[#This Row],[W (mm)]],1)</f>
        <v>51.8</v>
      </c>
      <c r="AF155" s="61" t="str">
        <f>All_PCC_a[[#This Row],[L (mm)]]&amp;"  x  "&amp;All_PCC_a[[#This Row],[W (mm)]]</f>
        <v>7,4  x  7</v>
      </c>
      <c r="AG155" s="74" t="s">
        <v>282</v>
      </c>
      <c r="AH155" s="61" t="str">
        <f>IF(All_PCC_a[[#This Row],[Max Height (mm)]]&lt;=9,"≤ "&amp;ROUNDUP(AD155,0),"≤"&amp;ROUNDUP(AD155,0))</f>
        <v>≤ 5</v>
      </c>
      <c r="AI155" s="1">
        <v>-40</v>
      </c>
      <c r="AJ155" s="1">
        <v>150</v>
      </c>
      <c r="AK155" s="1" t="str">
        <f>All_PCC_a[[#This Row],[Min Temp (deg.C)]]&amp;" to +"&amp;All_PCC_a[[#This Row],[Max Temp (deg.C)]]</f>
        <v>-40 to +150</v>
      </c>
      <c r="AL155" s="1"/>
      <c r="AO155" s="61" t="s">
        <v>122</v>
      </c>
      <c r="AP155" s="71" t="s">
        <v>122</v>
      </c>
      <c r="AQ155" s="61" t="s">
        <v>122</v>
      </c>
      <c r="AR155" s="61" t="s">
        <v>122</v>
      </c>
      <c r="AS155" s="1" t="s">
        <v>514</v>
      </c>
      <c r="AT155" s="1" t="s">
        <v>278</v>
      </c>
      <c r="AU155" s="1" t="e" vm="1">
        <f ca="1">_xlfn.IMAGE(All_PCC_a[[#This Row],[Image URL]])</f>
        <v>#NAME?</v>
      </c>
      <c r="AW155" s="1"/>
      <c r="AX155" s="61"/>
      <c r="AY155" s="61"/>
      <c r="BC155" s="1">
        <f>IF(Z155&lt;('[1]DCDC Ref'!$J$24/'[1]DCDC Ref'!$J$26)*'[1]DCDC Ref'!$J$28/100,0,1)</f>
        <v>1</v>
      </c>
      <c r="BD155" s="66">
        <f>IF(BC155=1000000000,"",('All Data'!Q155-'[1]DCDC Ref'!$J$30)/'[1]DCDC Ref'!$J$30*100)</f>
        <v>248.13186813186817</v>
      </c>
      <c r="BE155" s="67">
        <f t="shared" si="20"/>
        <v>248.13186813186817</v>
      </c>
      <c r="BF155" s="67"/>
      <c r="BG155" s="66"/>
      <c r="BH155" s="68">
        <f t="shared" si="17"/>
        <v>0</v>
      </c>
      <c r="BI155" s="67"/>
      <c r="BJ155" s="1">
        <f>IF(BC155=0,"",('All Data'!Z155-'[1]DCDC Ref'!$J$28*('[1]DCDC Ref'!$J$29/100))/'[1]DCDC Ref'!$J$28*('[1]DCDC Ref'!$J$29/100)*100)</f>
        <v>44.34482758620689</v>
      </c>
      <c r="BK155" s="68">
        <f t="shared" si="18"/>
        <v>44.34482758620689</v>
      </c>
      <c r="BL155" s="68"/>
      <c r="BM155" s="68"/>
      <c r="BN155" s="68"/>
      <c r="BO155" s="68"/>
      <c r="BQ155" s="5">
        <f t="shared" si="21"/>
        <v>1240881.064797272</v>
      </c>
      <c r="BR155" s="5">
        <f>IF(BQ155="","",RANK(BQ155,BQ$11:BQ$9930,1)+COUNTIF(BQ$11:BQ155,BQ155)-1)</f>
        <v>43</v>
      </c>
      <c r="BS155" s="69">
        <f t="shared" si="19"/>
        <v>43</v>
      </c>
      <c r="BT155" s="1" t="str">
        <f>IFERROR(INDEX($O$11:$O$1013,MATCH(ROWS($BS$11:BS155),$BS$11:$BS$1005,0)),"")</f>
        <v>ETQP5M820YGC</v>
      </c>
      <c r="BU155" s="69" t="str">
        <f t="shared" si="22"/>
        <v>ETQP5M820YGC</v>
      </c>
    </row>
    <row r="156" spans="2:73" ht="15">
      <c r="B156" s="1" t="s">
        <v>109</v>
      </c>
      <c r="C156" s="84" t="s">
        <v>523</v>
      </c>
      <c r="D156" s="1" t="s">
        <v>110</v>
      </c>
      <c r="E156" s="2"/>
      <c r="F156" s="1" t="s">
        <v>111</v>
      </c>
      <c r="G156" s="2" t="s">
        <v>112</v>
      </c>
      <c r="H156" s="1" t="s">
        <v>504</v>
      </c>
      <c r="I156" s="2" t="s">
        <v>114</v>
      </c>
      <c r="J156" s="1" t="s">
        <v>115</v>
      </c>
      <c r="K156" s="1" t="s">
        <v>134</v>
      </c>
      <c r="L156" s="1" t="s">
        <v>528</v>
      </c>
      <c r="M156" s="1" t="s">
        <v>169</v>
      </c>
      <c r="N156" s="1" t="s">
        <v>154</v>
      </c>
      <c r="O156" s="59" t="s">
        <v>529</v>
      </c>
      <c r="P156" s="60" t="str">
        <f>MID(All_PCC_a[[#This Row],[Part Number]],7,3)</f>
        <v>R47</v>
      </c>
      <c r="Q156" s="61">
        <v>0.47</v>
      </c>
      <c r="R156" s="71" t="str">
        <f>IF(All_PCC_a[[#This Row],[Lo (uH)]]&lt;1,"&lt;1",IF(All_PCC_a[[#This Row],[Lo (uH)]]&lt;10,"&lt;10",IF(All_PCC_a[[#This Row],[Lo (uH)]]&lt;100,"&lt;100",IF(All_PCC_a[[#This Row],[Lo (uH)]]&lt;2000,"&lt;2000",""))))</f>
        <v>&lt;1</v>
      </c>
      <c r="S156" s="61" t="str">
        <f>IFERROR(VLOOKUP(All_PCC_a[[#This Row],[Lo (uH)]],[1]Utility!$D$5:$E$43,2,1),"-")</f>
        <v>≤    0.5</v>
      </c>
      <c r="T156" s="62">
        <v>0.2</v>
      </c>
      <c r="U156" s="70">
        <v>2.2000000000000002</v>
      </c>
      <c r="V156" s="70">
        <v>2.42</v>
      </c>
      <c r="W156" s="80">
        <v>10</v>
      </c>
      <c r="X156" s="80">
        <v>22.5</v>
      </c>
      <c r="Y156" s="61">
        <v>19.2</v>
      </c>
      <c r="Z156" s="64">
        <v>37.200000000000003</v>
      </c>
      <c r="AA156" s="61">
        <v>27.4</v>
      </c>
      <c r="AB156" s="61">
        <v>8.4</v>
      </c>
      <c r="AC156" s="61">
        <v>8</v>
      </c>
      <c r="AD156" s="61">
        <v>4</v>
      </c>
      <c r="AE156" s="1">
        <f>ROUND(All_PCC_a[[#This Row],[L (mm)]]*All_PCC_a[[#This Row],[W (mm)]],1)</f>
        <v>67.2</v>
      </c>
      <c r="AF156" s="61" t="str">
        <f>All_PCC_a[[#This Row],[L (mm)]]&amp;"  x  "&amp;All_PCC_a[[#This Row],[W (mm)]]</f>
        <v>8,4  x  8</v>
      </c>
      <c r="AG156" s="74" t="s">
        <v>282</v>
      </c>
      <c r="AH156" s="61" t="str">
        <f>IF(All_PCC_a[[#This Row],[Max Height (mm)]]&lt;=9,"≤ "&amp;ROUNDUP(AD156,0),"≤"&amp;ROUNDUP(AD156,0))</f>
        <v>≤ 4</v>
      </c>
      <c r="AI156" s="1">
        <v>-55</v>
      </c>
      <c r="AJ156" s="1">
        <v>155</v>
      </c>
      <c r="AK156" s="1" t="str">
        <f>All_PCC_a[[#This Row],[Min Temp (deg.C)]]&amp;" to +"&amp;All_PCC_a[[#This Row],[Max Temp (deg.C)]]</f>
        <v>-55 to +155</v>
      </c>
      <c r="AL156" s="1"/>
      <c r="AO156" s="61" t="s">
        <v>122</v>
      </c>
      <c r="AP156" s="61" t="str">
        <f t="shared" ref="AP156:AP160" si="23">IFERROR(IF(L1Round&gt;1,ROUND(L1Round,1),L1Round),"-")</f>
        <v>-</v>
      </c>
      <c r="AQ156" s="61" t="s">
        <v>122</v>
      </c>
      <c r="AR156" s="61" t="s">
        <v>122</v>
      </c>
      <c r="AS156" s="1" t="s">
        <v>411</v>
      </c>
      <c r="AT156" s="1" t="s">
        <v>140</v>
      </c>
      <c r="AU156" s="1" t="e" vm="1">
        <f ca="1">_xlfn.IMAGE(All_PCC_a[[#This Row],[Image URL]])</f>
        <v>#NAME?</v>
      </c>
      <c r="AW156" s="1"/>
      <c r="AX156" s="61"/>
      <c r="AY156" s="61"/>
      <c r="BC156" s="1">
        <f>IF(Z156&lt;('[1]DCDC Ref'!$J$24/'[1]DCDC Ref'!$J$26)*'[1]DCDC Ref'!$J$28/100,0,1)</f>
        <v>1</v>
      </c>
      <c r="BD156" s="66">
        <f>IF(BC156=1000000000,"",('All Data'!Q156-'[1]DCDC Ref'!$J$30)/'[1]DCDC Ref'!$J$30*100)</f>
        <v>-25.626373626373628</v>
      </c>
      <c r="BE156" s="67">
        <f t="shared" si="20"/>
        <v>25.626373626373628</v>
      </c>
      <c r="BF156" s="67"/>
      <c r="BG156" s="66"/>
      <c r="BH156" s="68">
        <f t="shared" si="17"/>
        <v>0</v>
      </c>
      <c r="BI156" s="67"/>
      <c r="BJ156" s="1">
        <f>IF(BC156=0,"",('All Data'!Z156-'[1]DCDC Ref'!$J$28*('[1]DCDC Ref'!$J$29/100))/'[1]DCDC Ref'!$J$28*('[1]DCDC Ref'!$J$29/100)*100)</f>
        <v>233.51724137931035</v>
      </c>
      <c r="BK156" s="68">
        <f t="shared" si="18"/>
        <v>233.51724137931035</v>
      </c>
      <c r="BL156" s="68"/>
      <c r="BM156" s="68"/>
      <c r="BN156" s="68"/>
      <c r="BO156" s="68"/>
      <c r="BQ156" s="5">
        <f t="shared" si="21"/>
        <v>129299.45433876468</v>
      </c>
      <c r="BR156" s="5">
        <f>IF(BQ156="","",RANK(BQ156,BQ$11:BQ$9930,1)+COUNTIF(BQ$11:BQ156,BQ156)-1)</f>
        <v>12</v>
      </c>
      <c r="BS156" s="69">
        <f t="shared" si="19"/>
        <v>12</v>
      </c>
      <c r="BT156" s="1" t="str">
        <f>IFERROR(INDEX($O$11:$O$1013,MATCH(ROWS($BS$11:BS156),$BS$11:$BS$1005,0)),"")</f>
        <v>ETQP5M101YGM</v>
      </c>
      <c r="BU156" s="69" t="str">
        <f t="shared" si="22"/>
        <v>ETQP5M101YGM</v>
      </c>
    </row>
    <row r="157" spans="2:73" ht="15">
      <c r="B157" s="1" t="s">
        <v>109</v>
      </c>
      <c r="C157" s="84" t="s">
        <v>431</v>
      </c>
      <c r="D157" s="1" t="s">
        <v>110</v>
      </c>
      <c r="E157" s="2"/>
      <c r="F157" s="1" t="s">
        <v>111</v>
      </c>
      <c r="G157" s="2" t="s">
        <v>112</v>
      </c>
      <c r="H157" s="1" t="s">
        <v>504</v>
      </c>
      <c r="I157" s="2" t="s">
        <v>114</v>
      </c>
      <c r="J157" s="1" t="s">
        <v>115</v>
      </c>
      <c r="K157" s="1" t="s">
        <v>134</v>
      </c>
      <c r="L157" s="1" t="s">
        <v>530</v>
      </c>
      <c r="M157" s="1" t="s">
        <v>275</v>
      </c>
      <c r="N157" s="1" t="s">
        <v>154</v>
      </c>
      <c r="O157" s="59" t="s">
        <v>531</v>
      </c>
      <c r="P157" s="60" t="str">
        <f>MID(All_PCC_a[[#This Row],[Part Number]],7,3)</f>
        <v>470</v>
      </c>
      <c r="Q157" s="61">
        <v>47</v>
      </c>
      <c r="R157" s="71" t="str">
        <f>IF(All_PCC_a[[#This Row],[Lo (uH)]]&lt;1,"&lt;1",IF(All_PCC_a[[#This Row],[Lo (uH)]]&lt;10,"&lt;10",IF(All_PCC_a[[#This Row],[Lo (uH)]]&lt;100,"&lt;100",IF(All_PCC_a[[#This Row],[Lo (uH)]]&lt;2000,"&lt;2000",""))))</f>
        <v>&lt;100</v>
      </c>
      <c r="S157" s="61" t="str">
        <f>IFERROR(VLOOKUP(All_PCC_a[[#This Row],[Lo (uH)]],[1]Utility!$D$5:$E$43,2,1),"-")</f>
        <v>≤  50</v>
      </c>
      <c r="T157" s="62">
        <v>0.2</v>
      </c>
      <c r="U157" s="70">
        <v>190</v>
      </c>
      <c r="V157" s="70">
        <v>209</v>
      </c>
      <c r="W157" s="80">
        <v>10</v>
      </c>
      <c r="X157" s="80">
        <v>2.4</v>
      </c>
      <c r="Y157" s="71">
        <v>1.9</v>
      </c>
      <c r="Z157" s="64">
        <v>3.3</v>
      </c>
      <c r="AA157" s="61">
        <v>2.4</v>
      </c>
      <c r="AB157" s="61">
        <v>6.4</v>
      </c>
      <c r="AC157" s="61">
        <v>6</v>
      </c>
      <c r="AD157" s="61">
        <v>4.8</v>
      </c>
      <c r="AE157" s="1">
        <f>ROUND(All_PCC_a[[#This Row],[L (mm)]]*All_PCC_a[[#This Row],[W (mm)]],1)</f>
        <v>38.4</v>
      </c>
      <c r="AF157" s="61" t="str">
        <f>All_PCC_a[[#This Row],[L (mm)]]&amp;"  x  "&amp;All_PCC_a[[#This Row],[W (mm)]]</f>
        <v>6,4  x  6</v>
      </c>
      <c r="AG157" s="74" t="s">
        <v>282</v>
      </c>
      <c r="AH157" s="61" t="str">
        <f>IF(All_PCC_a[[#This Row],[Max Height (mm)]]&lt;=9,"≤ "&amp;ROUNDUP(AD157,0),"≤"&amp;ROUNDUP(AD157,0))</f>
        <v>≤ 5</v>
      </c>
      <c r="AI157" s="1">
        <v>-55</v>
      </c>
      <c r="AJ157" s="1">
        <v>150</v>
      </c>
      <c r="AK157" s="1" t="str">
        <f>All_PCC_a[[#This Row],[Min Temp (deg.C)]]&amp;" to +"&amp;All_PCC_a[[#This Row],[Max Temp (deg.C)]]</f>
        <v>-55 to +150</v>
      </c>
      <c r="AL157" s="1"/>
      <c r="AO157" s="61" t="s">
        <v>122</v>
      </c>
      <c r="AP157" s="61" t="str">
        <f t="shared" si="23"/>
        <v>-</v>
      </c>
      <c r="AQ157" s="61" t="s">
        <v>122</v>
      </c>
      <c r="AR157" s="61" t="s">
        <v>122</v>
      </c>
      <c r="AS157" s="1" t="s">
        <v>532</v>
      </c>
      <c r="AU157" s="1" t="e" vm="1">
        <f ca="1">_xlfn.IMAGE(All_PCC_a[[#This Row],[Image URL]])</f>
        <v>#NAME?</v>
      </c>
      <c r="AW157" s="1"/>
      <c r="AX157" s="61"/>
      <c r="AY157" s="61"/>
      <c r="BC157" s="1">
        <f>IF(Z157&lt;('[1]DCDC Ref'!$J$24/'[1]DCDC Ref'!$J$26)*'[1]DCDC Ref'!$J$28/100,0,1)</f>
        <v>1</v>
      </c>
      <c r="BD157" s="66">
        <f>IF(BC157=1000000000,"",('All Data'!Q157-'[1]DCDC Ref'!$J$30)/'[1]DCDC Ref'!$J$30*100)</f>
        <v>7337.3626373626375</v>
      </c>
      <c r="BE157" s="67">
        <f t="shared" si="20"/>
        <v>7337.3626373626375</v>
      </c>
      <c r="BF157" s="67"/>
      <c r="BG157" s="66"/>
      <c r="BH157" s="68">
        <f t="shared" si="17"/>
        <v>0</v>
      </c>
      <c r="BI157" s="67"/>
      <c r="BJ157" s="1">
        <f>IF(BC157=0,"",('All Data'!Z157-'[1]DCDC Ref'!$J$28*('[1]DCDC Ref'!$J$29/100))/'[1]DCDC Ref'!$J$28*('[1]DCDC Ref'!$J$29/100)*100)</f>
        <v>-70.413793103448285</v>
      </c>
      <c r="BK157" s="68">
        <f t="shared" si="18"/>
        <v>10000</v>
      </c>
      <c r="BL157" s="68"/>
      <c r="BM157" s="68"/>
      <c r="BN157" s="68"/>
      <c r="BO157" s="68"/>
      <c r="BQ157" s="5">
        <f t="shared" si="21"/>
        <v>36736813.186813191</v>
      </c>
      <c r="BR157" s="5">
        <f>IF(BQ157="","",RANK(BQ157,BQ$11:BQ$9930,1)+COUNTIF(BQ$11:BQ157,BQ157)-1)</f>
        <v>139</v>
      </c>
      <c r="BS157" s="69">
        <f t="shared" si="19"/>
        <v>139</v>
      </c>
      <c r="BT157" s="1" t="str">
        <f>IFERROR(INDEX($O$11:$O$1013,MATCH(ROWS($BS$11:BS157),$BS$11:$BS$1005,0)),"")</f>
        <v>ETQP5M101YGC</v>
      </c>
      <c r="BU157" s="69" t="str">
        <f t="shared" si="22"/>
        <v>ETQP5M101YGC</v>
      </c>
    </row>
    <row r="158" spans="2:73">
      <c r="B158" s="1" t="s">
        <v>109</v>
      </c>
      <c r="C158" s="24" t="s">
        <v>533</v>
      </c>
      <c r="D158" s="1" t="s">
        <v>110</v>
      </c>
      <c r="E158" s="2"/>
      <c r="F158" s="1" t="s">
        <v>111</v>
      </c>
      <c r="G158" s="2" t="s">
        <v>112</v>
      </c>
      <c r="H158" s="1" t="s">
        <v>504</v>
      </c>
      <c r="I158" s="2" t="s">
        <v>114</v>
      </c>
      <c r="J158" s="1" t="s">
        <v>115</v>
      </c>
      <c r="K158" s="1" t="s">
        <v>116</v>
      </c>
      <c r="L158" s="1" t="s">
        <v>358</v>
      </c>
      <c r="M158" s="1" t="s">
        <v>247</v>
      </c>
      <c r="N158" s="1" t="s">
        <v>154</v>
      </c>
      <c r="O158" s="59" t="s">
        <v>534</v>
      </c>
      <c r="P158" s="60" t="str">
        <f>MID(All_PCC_a[[#This Row],[Part Number]],7,3)</f>
        <v>6R8</v>
      </c>
      <c r="Q158" s="61">
        <v>6.8</v>
      </c>
      <c r="R158" s="71" t="str">
        <f>IF(All_PCC_a[[#This Row],[Lo (uH)]]&lt;1,"&lt;1",IF(All_PCC_a[[#This Row],[Lo (uH)]]&lt;10,"&lt;10",IF(All_PCC_a[[#This Row],[Lo (uH)]]&lt;100,"&lt;100",IF(All_PCC_a[[#This Row],[Lo (uH)]]&lt;2000,"&lt;2000",""))))</f>
        <v>&lt;10</v>
      </c>
      <c r="S158" s="61" t="str">
        <f>IFERROR(VLOOKUP(All_PCC_a[[#This Row],[Lo (uH)]],[1]Utility!$D$5:$E$43,2,1),"-")</f>
        <v>≤   7</v>
      </c>
      <c r="T158" s="62">
        <v>0.2</v>
      </c>
      <c r="U158" s="70">
        <v>18</v>
      </c>
      <c r="V158" s="70">
        <v>19.8</v>
      </c>
      <c r="W158" s="80">
        <v>10</v>
      </c>
      <c r="X158" s="71">
        <v>9.1</v>
      </c>
      <c r="Y158" s="61">
        <v>7.7</v>
      </c>
      <c r="Z158" s="64">
        <v>12.8</v>
      </c>
      <c r="AA158" s="61">
        <v>9.4</v>
      </c>
      <c r="AB158" s="61">
        <v>8.5</v>
      </c>
      <c r="AC158" s="61">
        <v>8</v>
      </c>
      <c r="AD158" s="61">
        <v>5.4</v>
      </c>
      <c r="AE158" s="1">
        <f>ROUND(All_PCC_a[[#This Row],[L (mm)]]*All_PCC_a[[#This Row],[W (mm)]],1)</f>
        <v>68</v>
      </c>
      <c r="AF158" s="61" t="str">
        <f>All_PCC_a[[#This Row],[L (mm)]]&amp;"  x  "&amp;All_PCC_a[[#This Row],[W (mm)]]</f>
        <v>8,5  x  8</v>
      </c>
      <c r="AG158" s="74" t="s">
        <v>535</v>
      </c>
      <c r="AH158" s="61" t="str">
        <f>IF(All_PCC_a[[#This Row],[Max Height (mm)]]&lt;=9,"≤ "&amp;ROUNDUP(AD158,0),"≤"&amp;ROUNDUP(AD158,0))</f>
        <v>≤ 6</v>
      </c>
      <c r="AI158" s="1">
        <v>-40</v>
      </c>
      <c r="AJ158" s="1">
        <v>150</v>
      </c>
      <c r="AK158" s="1" t="str">
        <f>All_PCC_a[[#This Row],[Min Temp (deg.C)]]&amp;" to +"&amp;All_PCC_a[[#This Row],[Max Temp (deg.C)]]</f>
        <v>-40 to +150</v>
      </c>
      <c r="AL158" s="1"/>
      <c r="AO158" s="61" t="s">
        <v>122</v>
      </c>
      <c r="AP158" s="61" t="str">
        <f t="shared" si="23"/>
        <v>-</v>
      </c>
      <c r="AQ158" s="61" t="s">
        <v>122</v>
      </c>
      <c r="AR158" s="61" t="s">
        <v>122</v>
      </c>
      <c r="AS158" s="1" t="s">
        <v>536</v>
      </c>
      <c r="AU158" s="1" t="e" vm="1">
        <f ca="1">_xlfn.IMAGE(All_PCC_a[[#This Row],[Image URL]])</f>
        <v>#NAME?</v>
      </c>
      <c r="AW158" s="1"/>
      <c r="AX158" s="61"/>
      <c r="AY158" s="61"/>
      <c r="BC158" s="1">
        <f>IF(Z158&lt;('[1]DCDC Ref'!$J$24/'[1]DCDC Ref'!$J$26)*'[1]DCDC Ref'!$J$28/100,0,1)</f>
        <v>1</v>
      </c>
      <c r="BD158" s="66">
        <f>IF(BC158=1000000000,"",('All Data'!Q158-'[1]DCDC Ref'!$J$30)/'[1]DCDC Ref'!$J$30*100)</f>
        <v>976.04395604395597</v>
      </c>
      <c r="BE158" s="67">
        <f t="shared" si="20"/>
        <v>976.04395604395597</v>
      </c>
      <c r="BF158" s="67"/>
      <c r="BG158" s="66"/>
      <c r="BH158" s="68">
        <f t="shared" si="17"/>
        <v>0</v>
      </c>
      <c r="BI158" s="67"/>
      <c r="BJ158" s="1">
        <f>IF(BC158=0,"",('All Data'!Z158-'[1]DCDC Ref'!$J$28*('[1]DCDC Ref'!$J$29/100))/'[1]DCDC Ref'!$J$28*('[1]DCDC Ref'!$J$29/100)*100)</f>
        <v>14.758620689655167</v>
      </c>
      <c r="BK158" s="68">
        <f t="shared" si="18"/>
        <v>14.758620689655167</v>
      </c>
      <c r="BL158" s="68"/>
      <c r="BM158" s="68"/>
      <c r="BN158" s="68"/>
      <c r="BO158" s="68"/>
      <c r="BQ158" s="5">
        <f t="shared" si="21"/>
        <v>4880293.5733232284</v>
      </c>
      <c r="BR158" s="5">
        <f>IF(BQ158="","",RANK(BQ158,BQ$11:BQ$9930,1)+COUNTIF(BQ$11:BQ158,BQ158)-1)</f>
        <v>86</v>
      </c>
      <c r="BS158" s="69">
        <f t="shared" si="19"/>
        <v>86</v>
      </c>
      <c r="BT158" s="1" t="str">
        <f>IFERROR(INDEX($O$11:$O$1013,MATCH(ROWS($BS$11:BS158),$BS$11:$BS$1005,0)),"")</f>
        <v>ETQP5M101YGK</v>
      </c>
      <c r="BU158" s="69" t="str">
        <f t="shared" si="22"/>
        <v>ETQP5M101YGK</v>
      </c>
    </row>
    <row r="159" spans="2:73">
      <c r="B159" s="1" t="s">
        <v>109</v>
      </c>
      <c r="C159" s="24" t="s">
        <v>533</v>
      </c>
      <c r="D159" s="1" t="s">
        <v>110</v>
      </c>
      <c r="E159" s="2"/>
      <c r="F159" s="1" t="s">
        <v>111</v>
      </c>
      <c r="G159" s="2" t="s">
        <v>112</v>
      </c>
      <c r="H159" s="1" t="s">
        <v>504</v>
      </c>
      <c r="I159" s="2" t="s">
        <v>114</v>
      </c>
      <c r="J159" s="1" t="s">
        <v>115</v>
      </c>
      <c r="K159" s="1" t="s">
        <v>537</v>
      </c>
      <c r="L159" s="1" t="s">
        <v>147</v>
      </c>
      <c r="M159" s="1" t="s">
        <v>148</v>
      </c>
      <c r="N159" s="1" t="s">
        <v>154</v>
      </c>
      <c r="O159" s="59" t="s">
        <v>538</v>
      </c>
      <c r="P159" s="60" t="str">
        <f>MID(All_PCC_a[[#This Row],[Part Number]],7,3)</f>
        <v>R33</v>
      </c>
      <c r="Q159" s="61">
        <v>0.33</v>
      </c>
      <c r="R159" s="71" t="str">
        <f>IF(All_PCC_a[[#This Row],[Lo (uH)]]&lt;1,"&lt;1",IF(All_PCC_a[[#This Row],[Lo (uH)]]&lt;10,"&lt;10",IF(All_PCC_a[[#This Row],[Lo (uH)]]&lt;100,"&lt;100",IF(All_PCC_a[[#This Row],[Lo (uH)]]&lt;2000,"&lt;2000",""))))</f>
        <v>&lt;1</v>
      </c>
      <c r="S159" s="61" t="str">
        <f>IFERROR(VLOOKUP(All_PCC_a[[#This Row],[Lo (uH)]],[1]Utility!$D$5:$E$43,2,1),"-")</f>
        <v>≤    0.4</v>
      </c>
      <c r="T159" s="62">
        <v>0.2</v>
      </c>
      <c r="U159" s="70">
        <v>1.08</v>
      </c>
      <c r="V159" s="70">
        <v>1.19</v>
      </c>
      <c r="W159" s="80">
        <v>10</v>
      </c>
      <c r="X159" s="71">
        <v>37.1</v>
      </c>
      <c r="Y159" s="61">
        <v>30.4</v>
      </c>
      <c r="Z159" s="64">
        <v>45.9</v>
      </c>
      <c r="AA159" s="61">
        <v>33.4</v>
      </c>
      <c r="AB159" s="61">
        <v>10.9</v>
      </c>
      <c r="AC159" s="61">
        <v>10</v>
      </c>
      <c r="AD159" s="61">
        <v>4</v>
      </c>
      <c r="AE159" s="1">
        <f>ROUND(All_PCC_a[[#This Row],[L (mm)]]*All_PCC_a[[#This Row],[W (mm)]],1)</f>
        <v>109</v>
      </c>
      <c r="AF159" s="61" t="str">
        <f>All_PCC_a[[#This Row],[L (mm)]]&amp;"  x  "&amp;All_PCC_a[[#This Row],[W (mm)]]</f>
        <v>10,9  x  10</v>
      </c>
      <c r="AG159" s="74" t="s">
        <v>121</v>
      </c>
      <c r="AH159" s="61" t="str">
        <f>IF(All_PCC_a[[#This Row],[Max Height (mm)]]&lt;=9,"≤ "&amp;ROUNDUP(AD159,0),"≤"&amp;ROUNDUP(AD159,0))</f>
        <v>≤ 4</v>
      </c>
      <c r="AI159" s="1">
        <v>-40</v>
      </c>
      <c r="AJ159" s="1">
        <v>150</v>
      </c>
      <c r="AK159" s="1" t="str">
        <f>All_PCC_a[[#This Row],[Min Temp (deg.C)]]&amp;" to +"&amp;All_PCC_a[[#This Row],[Max Temp (deg.C)]]</f>
        <v>-40 to +150</v>
      </c>
      <c r="AL159" s="1"/>
      <c r="AO159" s="61" t="s">
        <v>122</v>
      </c>
      <c r="AP159" s="61" t="str">
        <f t="shared" si="23"/>
        <v>-</v>
      </c>
      <c r="AQ159" s="61" t="s">
        <v>122</v>
      </c>
      <c r="AR159" s="61" t="s">
        <v>122</v>
      </c>
      <c r="AS159" s="1" t="s">
        <v>539</v>
      </c>
      <c r="AU159" s="1" t="e" vm="1">
        <f ca="1">_xlfn.IMAGE(All_PCC_a[[#This Row],[Image URL]])</f>
        <v>#NAME?</v>
      </c>
      <c r="AW159" s="1"/>
      <c r="AX159" s="61"/>
      <c r="AY159" s="61"/>
      <c r="BC159" s="1">
        <f>IF(Z159&lt;('[1]DCDC Ref'!$J$24/'[1]DCDC Ref'!$J$26)*'[1]DCDC Ref'!$J$28/100,0,1)</f>
        <v>1</v>
      </c>
      <c r="BD159" s="66">
        <f>IF(BC159=1000000000,"",('All Data'!Q159-'[1]DCDC Ref'!$J$30)/'[1]DCDC Ref'!$J$30*100)</f>
        <v>-47.780219780219774</v>
      </c>
      <c r="BE159" s="67">
        <f t="shared" si="20"/>
        <v>47.780219780219774</v>
      </c>
      <c r="BF159" s="67"/>
      <c r="BG159" s="66"/>
      <c r="BH159" s="68">
        <f t="shared" si="17"/>
        <v>0</v>
      </c>
      <c r="BI159" s="67"/>
      <c r="BJ159" s="1">
        <f>IF(BC159=0,"",('All Data'!Z159-'[1]DCDC Ref'!$J$28*('[1]DCDC Ref'!$J$29/100))/'[1]DCDC Ref'!$J$28*('[1]DCDC Ref'!$J$29/100)*100)</f>
        <v>311.51724137931029</v>
      </c>
      <c r="BK159" s="68">
        <f t="shared" si="18"/>
        <v>311.51724137931029</v>
      </c>
      <c r="BL159" s="68"/>
      <c r="BM159" s="68"/>
      <c r="BN159" s="68"/>
      <c r="BO159" s="68"/>
      <c r="BQ159" s="5">
        <f t="shared" si="21"/>
        <v>240458.68510799541</v>
      </c>
      <c r="BR159" s="5">
        <f>IF(BQ159="","",RANK(BQ159,BQ$11:BQ$9930,1)+COUNTIF(BQ$11:BQ159,BQ159)-1)</f>
        <v>15</v>
      </c>
      <c r="BS159" s="69">
        <f t="shared" si="19"/>
        <v>15</v>
      </c>
      <c r="BT159" s="1" t="str">
        <f>IFERROR(INDEX($O$11:$O$1013,MATCH(ROWS($BS$11:BS159),$BS$11:$BS$1005,0)),"")</f>
        <v>ETQP4M101KVC</v>
      </c>
      <c r="BU159" s="69" t="str">
        <f t="shared" si="22"/>
        <v>ETQP4M101KVC</v>
      </c>
    </row>
    <row r="160" spans="2:73">
      <c r="B160" s="1" t="s">
        <v>109</v>
      </c>
      <c r="C160" s="24" t="s">
        <v>533</v>
      </c>
      <c r="D160" s="1" t="s">
        <v>110</v>
      </c>
      <c r="E160" s="2"/>
      <c r="F160" s="1" t="s">
        <v>111</v>
      </c>
      <c r="G160" s="2" t="s">
        <v>112</v>
      </c>
      <c r="H160" s="1" t="s">
        <v>504</v>
      </c>
      <c r="I160" s="2" t="s">
        <v>114</v>
      </c>
      <c r="J160" s="1" t="s">
        <v>115</v>
      </c>
      <c r="K160" s="1" t="s">
        <v>537</v>
      </c>
      <c r="L160" s="1" t="s">
        <v>540</v>
      </c>
      <c r="M160" s="1" t="s">
        <v>200</v>
      </c>
      <c r="N160" s="1" t="s">
        <v>154</v>
      </c>
      <c r="O160" s="59" t="s">
        <v>541</v>
      </c>
      <c r="P160" s="60" t="str">
        <f>MID(All_PCC_a[[#This Row],[Part Number]],7,3)</f>
        <v>100</v>
      </c>
      <c r="Q160" s="61">
        <v>10</v>
      </c>
      <c r="R160" s="71" t="str">
        <f>IF(All_PCC_a[[#This Row],[Lo (uH)]]&lt;1,"&lt;1",IF(All_PCC_a[[#This Row],[Lo (uH)]]&lt;10,"&lt;10",IF(All_PCC_a[[#This Row],[Lo (uH)]]&lt;100,"&lt;100",IF(All_PCC_a[[#This Row],[Lo (uH)]]&lt;2000,"&lt;2000",""))))</f>
        <v>&lt;100</v>
      </c>
      <c r="S160" s="61" t="str">
        <f>IFERROR(VLOOKUP(All_PCC_a[[#This Row],[Lo (uH)]],[1]Utility!$D$5:$E$43,2,1),"-")</f>
        <v>≤  10</v>
      </c>
      <c r="T160" s="62">
        <v>0.2</v>
      </c>
      <c r="U160" s="70">
        <v>19</v>
      </c>
      <c r="V160" s="70">
        <v>20.9</v>
      </c>
      <c r="W160" s="80">
        <v>10</v>
      </c>
      <c r="X160" s="71">
        <v>9.6</v>
      </c>
      <c r="Y160" s="61">
        <v>8</v>
      </c>
      <c r="Z160" s="64">
        <v>14</v>
      </c>
      <c r="AA160" s="61">
        <v>10.1</v>
      </c>
      <c r="AB160" s="61">
        <v>10.9</v>
      </c>
      <c r="AC160" s="61">
        <v>10</v>
      </c>
      <c r="AD160" s="61">
        <v>6</v>
      </c>
      <c r="AE160" s="1">
        <f>ROUND(All_PCC_a[[#This Row],[L (mm)]]*All_PCC_a[[#This Row],[W (mm)]],1)</f>
        <v>109</v>
      </c>
      <c r="AF160" s="61" t="str">
        <f>All_PCC_a[[#This Row],[L (mm)]]&amp;"  x  "&amp;All_PCC_a[[#This Row],[W (mm)]]</f>
        <v>10,9  x  10</v>
      </c>
      <c r="AG160" s="74" t="s">
        <v>121</v>
      </c>
      <c r="AH160" s="61" t="str">
        <f>IF(All_PCC_a[[#This Row],[Max Height (mm)]]&lt;=9,"≤ "&amp;ROUNDUP(AD160,0),"≤"&amp;ROUNDUP(AD160,0))</f>
        <v>≤ 6</v>
      </c>
      <c r="AI160" s="1">
        <v>-40</v>
      </c>
      <c r="AJ160" s="1">
        <v>150</v>
      </c>
      <c r="AK160" s="1" t="str">
        <f>All_PCC_a[[#This Row],[Min Temp (deg.C)]]&amp;" to +"&amp;All_PCC_a[[#This Row],[Max Temp (deg.C)]]</f>
        <v>-40 to +150</v>
      </c>
      <c r="AL160" s="1"/>
      <c r="AO160" s="61" t="s">
        <v>122</v>
      </c>
      <c r="AP160" s="61" t="str">
        <f t="shared" si="23"/>
        <v>-</v>
      </c>
      <c r="AQ160" s="61" t="s">
        <v>122</v>
      </c>
      <c r="AR160" s="61" t="s">
        <v>122</v>
      </c>
      <c r="AS160" s="1" t="s">
        <v>542</v>
      </c>
      <c r="AU160" s="1" t="e" vm="1">
        <f ca="1">_xlfn.IMAGE(All_PCC_a[[#This Row],[Image URL]])</f>
        <v>#NAME?</v>
      </c>
      <c r="AW160" s="1"/>
      <c r="AX160" s="61"/>
      <c r="AY160" s="61"/>
      <c r="BC160" s="1">
        <f>IF(Z160&lt;('[1]DCDC Ref'!$J$24/'[1]DCDC Ref'!$J$26)*'[1]DCDC Ref'!$J$28/100,0,1)</f>
        <v>1</v>
      </c>
      <c r="BD160" s="66">
        <f>IF(BC160=1000000000,"",('All Data'!Q160-'[1]DCDC Ref'!$J$30)/'[1]DCDC Ref'!$J$30*100)</f>
        <v>1482.4175824175825</v>
      </c>
      <c r="BE160" s="67">
        <f t="shared" si="20"/>
        <v>1482.4175824175825</v>
      </c>
      <c r="BF160" s="67"/>
      <c r="BG160" s="66"/>
      <c r="BH160" s="68">
        <f t="shared" si="17"/>
        <v>0</v>
      </c>
      <c r="BI160" s="67"/>
      <c r="BJ160" s="1">
        <f>IF(BC160=0,"",('All Data'!Z160-'[1]DCDC Ref'!$J$28*('[1]DCDC Ref'!$J$29/100))/'[1]DCDC Ref'!$J$28*('[1]DCDC Ref'!$J$29/100)*100)</f>
        <v>25.517241379310327</v>
      </c>
      <c r="BK160" s="68">
        <f t="shared" si="18"/>
        <v>25.517241379310327</v>
      </c>
      <c r="BL160" s="68"/>
      <c r="BM160" s="68"/>
      <c r="BN160" s="68"/>
      <c r="BO160" s="68"/>
      <c r="BQ160" s="5">
        <f t="shared" si="21"/>
        <v>7412215.4982948089</v>
      </c>
      <c r="BR160" s="5">
        <f>IF(BQ160="","",RANK(BQ160,BQ$11:BQ$9930,1)+COUNTIF(BQ$11:BQ160,BQ160)-1)</f>
        <v>93</v>
      </c>
      <c r="BS160" s="69">
        <f t="shared" si="19"/>
        <v>93</v>
      </c>
      <c r="BT160" s="1" t="str">
        <f>IFERROR(INDEX($O$11:$O$1013,MATCH(ROWS($BS$11:BS160),$BS$11:$BS$1005,0)),"")</f>
        <v/>
      </c>
      <c r="BU160" s="69" t="str">
        <f t="shared" si="22"/>
        <v/>
      </c>
    </row>
    <row r="161" spans="4:52">
      <c r="E161" s="2"/>
      <c r="G161" s="2"/>
      <c r="K161" s="1"/>
      <c r="L161" s="1"/>
      <c r="O161" s="59"/>
      <c r="P161" s="60"/>
      <c r="Q161" s="61"/>
      <c r="R161" s="71"/>
      <c r="S161" s="61"/>
      <c r="T161" s="62"/>
      <c r="U161" s="70"/>
      <c r="V161" s="70"/>
      <c r="W161" s="61"/>
      <c r="X161" s="71"/>
      <c r="Y161" s="61"/>
      <c r="Z161" s="64"/>
      <c r="AA161" s="61"/>
      <c r="AD161" s="61"/>
      <c r="AG161" s="65"/>
      <c r="AJ161" s="61"/>
      <c r="AK161" s="71"/>
      <c r="AV161" s="61"/>
      <c r="AW161" s="71"/>
    </row>
    <row r="162" spans="4:52">
      <c r="E162" s="2"/>
      <c r="G162" s="2"/>
      <c r="K162" s="1"/>
      <c r="L162" s="1"/>
      <c r="O162" s="59"/>
      <c r="P162" s="60"/>
      <c r="Q162" s="61"/>
      <c r="R162" s="71"/>
      <c r="S162" s="61"/>
      <c r="T162" s="62"/>
      <c r="U162" s="70"/>
      <c r="V162" s="70"/>
      <c r="W162" s="61"/>
      <c r="X162" s="71"/>
      <c r="Y162" s="61"/>
      <c r="Z162" s="64"/>
      <c r="AA162" s="61"/>
      <c r="AD162" s="61"/>
      <c r="AG162" s="65"/>
      <c r="AJ162" s="61"/>
      <c r="AK162" s="71"/>
      <c r="AV162" s="61"/>
      <c r="AW162" s="71"/>
    </row>
    <row r="163" spans="4:52">
      <c r="E163" s="2"/>
      <c r="G163" s="2"/>
      <c r="K163" s="1"/>
      <c r="L163" s="1"/>
      <c r="O163" s="59"/>
      <c r="P163" s="60"/>
      <c r="Q163" s="61"/>
      <c r="R163" s="71"/>
      <c r="S163" s="61"/>
      <c r="T163" s="62"/>
      <c r="U163" s="70"/>
      <c r="V163" s="70"/>
      <c r="W163" s="61"/>
      <c r="X163" s="71"/>
      <c r="Y163" s="61"/>
      <c r="Z163" s="64"/>
      <c r="AA163" s="61"/>
      <c r="AD163" s="61"/>
      <c r="AG163" s="65"/>
      <c r="AJ163" s="61"/>
      <c r="AK163" s="71"/>
      <c r="AV163" s="61"/>
      <c r="AW163" s="71"/>
    </row>
    <row r="164" spans="4:52">
      <c r="E164" s="2"/>
      <c r="G164" s="2"/>
      <c r="K164" s="1"/>
      <c r="L164" s="1"/>
      <c r="O164" s="59"/>
      <c r="P164" s="60"/>
      <c r="Q164" s="61"/>
      <c r="R164" s="71"/>
      <c r="S164" s="61"/>
      <c r="T164" s="62"/>
      <c r="U164" s="70"/>
      <c r="V164" s="70"/>
      <c r="W164" s="61"/>
      <c r="X164" s="71"/>
      <c r="Y164" s="61"/>
      <c r="Z164" s="64"/>
      <c r="AA164" s="61"/>
      <c r="AD164" s="61"/>
      <c r="AG164" s="65"/>
      <c r="AJ164" s="61"/>
      <c r="AK164" s="71"/>
      <c r="AV164" s="61"/>
      <c r="AW164" s="71"/>
    </row>
    <row r="165" spans="4:52">
      <c r="E165" s="2"/>
      <c r="G165" s="2"/>
      <c r="K165" s="1"/>
      <c r="L165" s="1" t="s">
        <v>543</v>
      </c>
      <c r="M165" s="1" t="s">
        <v>544</v>
      </c>
      <c r="O165" s="59"/>
      <c r="P165" s="60"/>
      <c r="Q165" s="61"/>
      <c r="R165" s="71"/>
      <c r="S165" s="61"/>
      <c r="T165" s="62"/>
      <c r="U165" s="70"/>
      <c r="V165" s="70"/>
      <c r="W165" s="61"/>
      <c r="X165" s="71"/>
      <c r="Y165" s="61"/>
      <c r="Z165" s="64"/>
      <c r="AA165" s="61"/>
      <c r="AD165" s="61"/>
      <c r="AG165" s="65"/>
      <c r="AJ165" s="61"/>
      <c r="AK165" s="71"/>
      <c r="AV165" s="61"/>
      <c r="AW165" s="71"/>
    </row>
    <row r="166" spans="4:52">
      <c r="E166" s="2"/>
      <c r="G166" s="2"/>
      <c r="K166" s="1" t="s">
        <v>545</v>
      </c>
      <c r="L166" s="1">
        <v>27.2</v>
      </c>
      <c r="M166" s="1" t="s">
        <v>546</v>
      </c>
      <c r="O166" s="59"/>
      <c r="P166" s="60"/>
      <c r="Q166" s="61"/>
      <c r="R166" s="71"/>
      <c r="S166" s="61"/>
      <c r="T166" s="62"/>
      <c r="U166" s="70"/>
      <c r="V166" s="70"/>
      <c r="W166" s="61"/>
      <c r="X166" s="71"/>
      <c r="Y166" s="61"/>
      <c r="Z166" s="64"/>
      <c r="AA166" s="61"/>
      <c r="AD166" s="61"/>
      <c r="AG166" s="65"/>
      <c r="AJ166" s="61"/>
      <c r="AK166" s="71"/>
      <c r="AV166" s="61"/>
      <c r="AW166" s="71"/>
    </row>
    <row r="167" spans="4:52">
      <c r="E167" s="2"/>
      <c r="G167" s="2"/>
      <c r="K167" s="1" t="s">
        <v>547</v>
      </c>
      <c r="L167" s="1">
        <v>22.7</v>
      </c>
      <c r="M167" s="1" t="s">
        <v>546</v>
      </c>
      <c r="O167" s="59"/>
      <c r="P167" s="60"/>
      <c r="Q167" s="61"/>
      <c r="R167" s="71"/>
      <c r="S167" s="61"/>
      <c r="T167" s="62"/>
      <c r="U167" s="70"/>
      <c r="V167" s="70"/>
      <c r="W167" s="61"/>
      <c r="X167" s="71"/>
      <c r="Y167" s="61"/>
      <c r="Z167" s="64"/>
      <c r="AA167" s="61"/>
      <c r="AD167" s="61"/>
      <c r="AG167" s="65"/>
      <c r="AJ167" s="61"/>
      <c r="AK167" s="71"/>
      <c r="AV167" s="61"/>
      <c r="AW167" s="71"/>
    </row>
    <row r="168" spans="4:52">
      <c r="E168" s="2"/>
      <c r="G168" s="2"/>
      <c r="K168" s="1" t="s">
        <v>548</v>
      </c>
      <c r="L168" s="1">
        <v>37.299999999999997</v>
      </c>
      <c r="M168" s="1" t="s">
        <v>546</v>
      </c>
      <c r="O168" s="59"/>
      <c r="P168" s="60"/>
      <c r="Q168" s="61"/>
      <c r="R168" s="71"/>
      <c r="S168" s="61"/>
      <c r="T168" s="62"/>
      <c r="U168" s="70"/>
      <c r="V168" s="70"/>
      <c r="W168" s="61"/>
      <c r="X168" s="71"/>
      <c r="Y168" s="61"/>
      <c r="Z168" s="64"/>
      <c r="AA168" s="61"/>
      <c r="AD168" s="61"/>
      <c r="AG168" s="65"/>
      <c r="AJ168" s="61"/>
      <c r="AK168" s="71"/>
      <c r="AV168" s="61"/>
      <c r="AW168" s="71"/>
      <c r="AX168" s="44" t="s">
        <v>549</v>
      </c>
      <c r="AY168" s="44" t="s">
        <v>550</v>
      </c>
      <c r="AZ168" s="54" t="s">
        <v>551</v>
      </c>
    </row>
    <row r="169" spans="4:52">
      <c r="K169" s="1" t="s">
        <v>552</v>
      </c>
      <c r="L169" s="1">
        <v>29.8</v>
      </c>
      <c r="M169" s="1" t="s">
        <v>546</v>
      </c>
      <c r="AX169" s="61" t="s">
        <v>144</v>
      </c>
      <c r="AY169" s="61" t="s">
        <v>144</v>
      </c>
      <c r="AZ169" s="113" t="s">
        <v>553</v>
      </c>
    </row>
    <row r="170" spans="4:52" ht="15" thickBot="1">
      <c r="AX170" s="61" t="s">
        <v>144</v>
      </c>
      <c r="AY170" s="61" t="s">
        <v>144</v>
      </c>
      <c r="AZ170" s="113" t="s">
        <v>554</v>
      </c>
    </row>
    <row r="171" spans="4:52" ht="48">
      <c r="D171" s="39" t="s">
        <v>555</v>
      </c>
      <c r="E171" s="41" t="s">
        <v>556</v>
      </c>
      <c r="F171" s="41" t="s">
        <v>56</v>
      </c>
      <c r="G171" s="41" t="s">
        <v>57</v>
      </c>
      <c r="H171" s="41" t="s">
        <v>58</v>
      </c>
      <c r="I171" s="42" t="s">
        <v>557</v>
      </c>
      <c r="J171" s="41" t="s">
        <v>60</v>
      </c>
      <c r="K171" s="41" t="s">
        <v>558</v>
      </c>
      <c r="L171" s="41" t="s">
        <v>559</v>
      </c>
      <c r="M171" s="41" t="s">
        <v>560</v>
      </c>
      <c r="N171" s="43" t="s">
        <v>561</v>
      </c>
      <c r="O171" s="44" t="s">
        <v>65</v>
      </c>
      <c r="P171" s="45" t="s">
        <v>66</v>
      </c>
      <c r="Q171" s="46" t="s">
        <v>562</v>
      </c>
      <c r="R171" s="47" t="s">
        <v>563</v>
      </c>
      <c r="S171" s="46" t="s">
        <v>564</v>
      </c>
      <c r="T171" s="44" t="s">
        <v>565</v>
      </c>
      <c r="U171" s="114" t="s">
        <v>566</v>
      </c>
      <c r="V171" s="48" t="s">
        <v>567</v>
      </c>
      <c r="W171" s="48" t="s">
        <v>568</v>
      </c>
      <c r="X171" s="115" t="s">
        <v>569</v>
      </c>
      <c r="Y171" s="115" t="s">
        <v>570</v>
      </c>
      <c r="Z171" s="116" t="s">
        <v>571</v>
      </c>
      <c r="AA171" s="117" t="s">
        <v>572</v>
      </c>
      <c r="AC171" s="51" t="s">
        <v>78</v>
      </c>
      <c r="AD171" s="44" t="s">
        <v>573</v>
      </c>
      <c r="AE171" s="51" t="s">
        <v>79</v>
      </c>
      <c r="AG171" s="44" t="s">
        <v>574</v>
      </c>
      <c r="AJ171" s="44" t="s">
        <v>575</v>
      </c>
      <c r="AK171" s="44" t="s">
        <v>576</v>
      </c>
      <c r="AM171" s="44" t="s">
        <v>577</v>
      </c>
      <c r="AN171" s="44" t="s">
        <v>578</v>
      </c>
      <c r="AO171" s="44" t="s">
        <v>579</v>
      </c>
      <c r="AR171" s="51" t="s">
        <v>81</v>
      </c>
      <c r="AS171" s="51" t="s">
        <v>88</v>
      </c>
      <c r="AT171" s="51" t="s">
        <v>30</v>
      </c>
      <c r="AU171" s="54" t="s">
        <v>580</v>
      </c>
      <c r="AV171" s="46" t="s">
        <v>581</v>
      </c>
      <c r="AW171" s="46" t="s">
        <v>582</v>
      </c>
      <c r="AX171" s="85" t="s">
        <v>144</v>
      </c>
      <c r="AY171" s="85">
        <v>60</v>
      </c>
      <c r="AZ171" s="113" t="s">
        <v>583</v>
      </c>
    </row>
    <row r="172" spans="4:52" ht="15">
      <c r="D172" s="1" t="s">
        <v>584</v>
      </c>
      <c r="E172" s="118"/>
      <c r="F172" s="1" t="s">
        <v>357</v>
      </c>
      <c r="G172" s="1" t="s">
        <v>112</v>
      </c>
      <c r="H172" s="1" t="s">
        <v>113</v>
      </c>
      <c r="I172" s="2" t="s">
        <v>114</v>
      </c>
      <c r="J172" s="1" t="s">
        <v>115</v>
      </c>
      <c r="K172" s="1" t="s">
        <v>585</v>
      </c>
      <c r="L172" s="1"/>
      <c r="N172" s="1" t="s">
        <v>586</v>
      </c>
      <c r="O172" s="59" t="s">
        <v>587</v>
      </c>
      <c r="P172" s="60" t="s">
        <v>588</v>
      </c>
      <c r="Q172" s="61">
        <v>0.15</v>
      </c>
      <c r="R172" s="61" t="s">
        <v>589</v>
      </c>
      <c r="S172" s="61" t="s">
        <v>590</v>
      </c>
      <c r="T172" s="62">
        <v>0.2</v>
      </c>
      <c r="U172" s="70" t="s">
        <v>591</v>
      </c>
      <c r="V172" s="119">
        <v>0.66</v>
      </c>
      <c r="W172" s="61">
        <v>7</v>
      </c>
      <c r="X172" s="120">
        <v>43</v>
      </c>
      <c r="Y172" s="61">
        <v>29</v>
      </c>
      <c r="Z172" s="121">
        <v>40</v>
      </c>
      <c r="AA172" s="121">
        <v>30</v>
      </c>
      <c r="AD172" s="61" t="s">
        <v>592</v>
      </c>
      <c r="AG172" s="76" t="s">
        <v>593</v>
      </c>
      <c r="AJ172" s="61">
        <v>3</v>
      </c>
      <c r="AK172" s="61" t="s">
        <v>594</v>
      </c>
      <c r="AM172" s="1" t="s">
        <v>595</v>
      </c>
      <c r="AN172" s="11">
        <v>-40</v>
      </c>
      <c r="AO172" s="11">
        <v>130</v>
      </c>
      <c r="AV172" s="61" t="s">
        <v>144</v>
      </c>
      <c r="AW172" s="61" t="s">
        <v>144</v>
      </c>
      <c r="AX172" s="62">
        <v>0.2</v>
      </c>
      <c r="AY172" s="61">
        <v>21</v>
      </c>
      <c r="AZ172" s="122" t="s">
        <v>596</v>
      </c>
    </row>
    <row r="173" spans="4:52" ht="15">
      <c r="D173" s="1" t="s">
        <v>597</v>
      </c>
      <c r="E173" s="58"/>
      <c r="F173" s="1" t="s">
        <v>357</v>
      </c>
      <c r="G173" s="1" t="s">
        <v>112</v>
      </c>
      <c r="H173" s="1" t="s">
        <v>113</v>
      </c>
      <c r="I173" s="2" t="s">
        <v>114</v>
      </c>
      <c r="J173" s="1" t="s">
        <v>115</v>
      </c>
      <c r="K173" s="1" t="s">
        <v>585</v>
      </c>
      <c r="L173" s="1"/>
      <c r="N173" s="1" t="s">
        <v>586</v>
      </c>
      <c r="O173" s="59" t="s">
        <v>598</v>
      </c>
      <c r="P173" s="60" t="s">
        <v>588</v>
      </c>
      <c r="Q173" s="61">
        <v>0.15</v>
      </c>
      <c r="R173" s="61" t="s">
        <v>589</v>
      </c>
      <c r="S173" s="61" t="s">
        <v>599</v>
      </c>
      <c r="T173" s="62">
        <v>0.2</v>
      </c>
      <c r="U173" s="70" t="s">
        <v>600</v>
      </c>
      <c r="V173" s="70">
        <v>0.70620000000000005</v>
      </c>
      <c r="W173" s="61">
        <v>7</v>
      </c>
      <c r="X173" s="120">
        <v>43</v>
      </c>
      <c r="Y173" s="61">
        <v>29</v>
      </c>
      <c r="Z173" s="121">
        <v>45</v>
      </c>
      <c r="AA173" s="121">
        <v>34</v>
      </c>
      <c r="AD173" s="61" t="s">
        <v>592</v>
      </c>
      <c r="AG173" s="76" t="s">
        <v>593</v>
      </c>
      <c r="AJ173" s="61">
        <v>4</v>
      </c>
      <c r="AK173" s="61" t="s">
        <v>601</v>
      </c>
      <c r="AM173" s="1" t="s">
        <v>595</v>
      </c>
      <c r="AN173" s="11">
        <v>-40</v>
      </c>
      <c r="AO173" s="11">
        <v>130</v>
      </c>
      <c r="AV173" s="61" t="s">
        <v>144</v>
      </c>
      <c r="AW173" s="61" t="s">
        <v>144</v>
      </c>
      <c r="AX173" s="61" t="s">
        <v>144</v>
      </c>
      <c r="AY173" s="61">
        <v>22</v>
      </c>
      <c r="AZ173" s="122" t="s">
        <v>602</v>
      </c>
    </row>
    <row r="174" spans="4:52" ht="15">
      <c r="D174" s="1" t="s">
        <v>597</v>
      </c>
      <c r="E174" s="58"/>
      <c r="F174" s="1" t="s">
        <v>357</v>
      </c>
      <c r="G174" s="105" t="s">
        <v>112</v>
      </c>
      <c r="H174" s="105" t="s">
        <v>113</v>
      </c>
      <c r="I174" s="104" t="s">
        <v>114</v>
      </c>
      <c r="J174" s="105" t="s">
        <v>115</v>
      </c>
      <c r="K174" s="1" t="s">
        <v>585</v>
      </c>
      <c r="L174" s="105"/>
      <c r="M174" s="105"/>
      <c r="N174" s="105" t="s">
        <v>586</v>
      </c>
      <c r="O174" s="96" t="s">
        <v>603</v>
      </c>
      <c r="P174" s="60" t="s">
        <v>588</v>
      </c>
      <c r="Q174" s="85">
        <v>0.15</v>
      </c>
      <c r="R174" s="61" t="s">
        <v>589</v>
      </c>
      <c r="S174" s="61" t="s">
        <v>590</v>
      </c>
      <c r="T174" s="106">
        <v>0.2</v>
      </c>
      <c r="U174" s="123" t="s">
        <v>604</v>
      </c>
      <c r="V174" s="123">
        <v>0.45</v>
      </c>
      <c r="W174" s="85">
        <v>7</v>
      </c>
      <c r="X174" s="120">
        <v>51</v>
      </c>
      <c r="Y174" s="85">
        <v>42</v>
      </c>
      <c r="Z174" s="124">
        <v>70</v>
      </c>
      <c r="AA174" s="124">
        <v>50</v>
      </c>
      <c r="AD174" s="85" t="s">
        <v>605</v>
      </c>
      <c r="AG174" s="108" t="s">
        <v>121</v>
      </c>
      <c r="AJ174" s="85">
        <v>4</v>
      </c>
      <c r="AK174" s="85" t="s">
        <v>601</v>
      </c>
      <c r="AM174" s="1" t="s">
        <v>595</v>
      </c>
      <c r="AN174" s="11">
        <v>-40</v>
      </c>
      <c r="AO174" s="11">
        <v>130</v>
      </c>
      <c r="AV174" s="85">
        <v>0.13</v>
      </c>
      <c r="AW174" s="85">
        <v>0.13</v>
      </c>
      <c r="AX174" s="61" t="s">
        <v>144</v>
      </c>
      <c r="AY174" s="61">
        <v>24</v>
      </c>
      <c r="AZ174" s="122" t="s">
        <v>606</v>
      </c>
    </row>
    <row r="175" spans="4:52">
      <c r="D175" s="1" t="s">
        <v>607</v>
      </c>
      <c r="E175" s="58"/>
      <c r="F175" s="1" t="s">
        <v>357</v>
      </c>
      <c r="G175" s="1" t="s">
        <v>112</v>
      </c>
      <c r="H175" s="1" t="s">
        <v>113</v>
      </c>
      <c r="I175" s="2" t="s">
        <v>114</v>
      </c>
      <c r="J175" s="1" t="s">
        <v>115</v>
      </c>
      <c r="K175" s="1" t="s">
        <v>585</v>
      </c>
      <c r="L175" s="1"/>
      <c r="N175" s="1" t="s">
        <v>586</v>
      </c>
      <c r="O175" s="59" t="s">
        <v>608</v>
      </c>
      <c r="P175" s="60" t="s">
        <v>609</v>
      </c>
      <c r="Q175" s="61">
        <v>0.2</v>
      </c>
      <c r="R175" s="61" t="s">
        <v>589</v>
      </c>
      <c r="S175" s="61" t="s">
        <v>610</v>
      </c>
      <c r="T175" s="62">
        <v>0.2</v>
      </c>
      <c r="U175" s="70" t="s">
        <v>611</v>
      </c>
      <c r="V175" s="70">
        <v>0.77</v>
      </c>
      <c r="W175" s="61">
        <v>10</v>
      </c>
      <c r="X175" s="125">
        <v>38</v>
      </c>
      <c r="Y175" s="61">
        <v>28</v>
      </c>
      <c r="Z175" s="121">
        <v>68</v>
      </c>
      <c r="AA175" s="121">
        <v>50</v>
      </c>
      <c r="AD175" s="61" t="s">
        <v>612</v>
      </c>
      <c r="AG175" s="76" t="s">
        <v>121</v>
      </c>
      <c r="AJ175" s="61">
        <v>4</v>
      </c>
      <c r="AK175" s="61" t="s">
        <v>601</v>
      </c>
      <c r="AM175" s="1" t="s">
        <v>595</v>
      </c>
      <c r="AN175" s="11">
        <v>-40</v>
      </c>
      <c r="AO175" s="11">
        <v>130</v>
      </c>
      <c r="AV175" s="61">
        <v>0.19</v>
      </c>
      <c r="AW175" s="61">
        <v>0.19</v>
      </c>
      <c r="AX175" s="61" t="s">
        <v>144</v>
      </c>
      <c r="AY175" s="61">
        <v>20</v>
      </c>
      <c r="AZ175" s="122" t="s">
        <v>613</v>
      </c>
    </row>
    <row r="176" spans="4:52">
      <c r="D176" s="1" t="s">
        <v>607</v>
      </c>
      <c r="E176" s="58"/>
      <c r="F176" s="1" t="s">
        <v>357</v>
      </c>
      <c r="G176" s="1" t="s">
        <v>112</v>
      </c>
      <c r="H176" s="1" t="s">
        <v>113</v>
      </c>
      <c r="I176" s="2" t="s">
        <v>114</v>
      </c>
      <c r="J176" s="1" t="s">
        <v>115</v>
      </c>
      <c r="K176" s="1" t="s">
        <v>585</v>
      </c>
      <c r="L176" s="1"/>
      <c r="N176" s="1" t="s">
        <v>586</v>
      </c>
      <c r="O176" s="59" t="s">
        <v>614</v>
      </c>
      <c r="P176" s="60" t="s">
        <v>615</v>
      </c>
      <c r="Q176" s="61">
        <v>0.24</v>
      </c>
      <c r="R176" s="61" t="s">
        <v>589</v>
      </c>
      <c r="S176" s="61" t="s">
        <v>590</v>
      </c>
      <c r="T176" s="62">
        <v>0.2</v>
      </c>
      <c r="U176" s="70" t="s">
        <v>616</v>
      </c>
      <c r="V176" s="119">
        <v>1.1984000000000001</v>
      </c>
      <c r="W176" s="61">
        <v>7</v>
      </c>
      <c r="X176" s="125">
        <v>35</v>
      </c>
      <c r="Y176" s="61">
        <v>22</v>
      </c>
      <c r="Z176" s="121">
        <v>30</v>
      </c>
      <c r="AA176" s="121">
        <v>22</v>
      </c>
      <c r="AD176" s="61" t="s">
        <v>592</v>
      </c>
      <c r="AG176" s="76" t="s">
        <v>593</v>
      </c>
      <c r="AJ176" s="61">
        <v>3</v>
      </c>
      <c r="AK176" s="61" t="s">
        <v>594</v>
      </c>
      <c r="AM176" s="1" t="s">
        <v>595</v>
      </c>
      <c r="AN176" s="11">
        <v>-40</v>
      </c>
      <c r="AO176" s="11">
        <v>130</v>
      </c>
      <c r="AV176" s="61">
        <v>0.19</v>
      </c>
      <c r="AW176" s="61">
        <v>0.19</v>
      </c>
      <c r="AX176" s="61" t="s">
        <v>144</v>
      </c>
      <c r="AY176" s="61">
        <v>30</v>
      </c>
      <c r="AZ176" s="122" t="s">
        <v>617</v>
      </c>
    </row>
    <row r="177" spans="4:52">
      <c r="D177" s="1" t="s">
        <v>607</v>
      </c>
      <c r="E177" s="58"/>
      <c r="F177" s="1" t="s">
        <v>357</v>
      </c>
      <c r="G177" s="1" t="s">
        <v>112</v>
      </c>
      <c r="H177" s="1" t="s">
        <v>113</v>
      </c>
      <c r="I177" s="2" t="s">
        <v>114</v>
      </c>
      <c r="J177" s="1" t="s">
        <v>115</v>
      </c>
      <c r="K177" s="1" t="s">
        <v>585</v>
      </c>
      <c r="L177" s="1"/>
      <c r="N177" s="1" t="s">
        <v>586</v>
      </c>
      <c r="O177" s="59" t="s">
        <v>618</v>
      </c>
      <c r="P177" s="60" t="s">
        <v>615</v>
      </c>
      <c r="Q177" s="61">
        <v>0.24</v>
      </c>
      <c r="R177" s="61" t="s">
        <v>589</v>
      </c>
      <c r="S177" s="61" t="s">
        <v>619</v>
      </c>
      <c r="T177" s="62">
        <v>0.2</v>
      </c>
      <c r="U177" s="70" t="s">
        <v>620</v>
      </c>
      <c r="V177" s="70">
        <v>1.07</v>
      </c>
      <c r="W177" s="61">
        <v>7</v>
      </c>
      <c r="X177" s="125">
        <v>35.5</v>
      </c>
      <c r="Y177" s="61">
        <v>24</v>
      </c>
      <c r="Z177" s="121">
        <v>35</v>
      </c>
      <c r="AA177" s="121">
        <v>27</v>
      </c>
      <c r="AD177" s="61" t="s">
        <v>592</v>
      </c>
      <c r="AG177" s="76" t="s">
        <v>593</v>
      </c>
      <c r="AJ177" s="61">
        <v>4</v>
      </c>
      <c r="AK177" s="61" t="s">
        <v>601</v>
      </c>
      <c r="AM177" s="1" t="s">
        <v>595</v>
      </c>
      <c r="AN177" s="11">
        <v>-40</v>
      </c>
      <c r="AO177" s="11">
        <v>130</v>
      </c>
      <c r="AV177" s="61">
        <v>0.2</v>
      </c>
      <c r="AW177" s="61">
        <v>0.2</v>
      </c>
      <c r="AX177" s="62">
        <v>0.2</v>
      </c>
      <c r="AY177" s="61">
        <v>17</v>
      </c>
      <c r="AZ177" s="122" t="s">
        <v>621</v>
      </c>
    </row>
    <row r="178" spans="4:52" ht="15">
      <c r="D178" s="1" t="s">
        <v>607</v>
      </c>
      <c r="E178" s="58"/>
      <c r="F178" s="1" t="s">
        <v>357</v>
      </c>
      <c r="G178" s="1" t="s">
        <v>112</v>
      </c>
      <c r="H178" s="1" t="s">
        <v>113</v>
      </c>
      <c r="I178" s="2" t="s">
        <v>114</v>
      </c>
      <c r="J178" s="1" t="s">
        <v>115</v>
      </c>
      <c r="K178" s="1" t="s">
        <v>585</v>
      </c>
      <c r="L178" s="1"/>
      <c r="N178" s="1" t="s">
        <v>586</v>
      </c>
      <c r="O178" s="96" t="s">
        <v>622</v>
      </c>
      <c r="P178" s="60" t="s">
        <v>623</v>
      </c>
      <c r="Q178" s="61">
        <v>0.36</v>
      </c>
      <c r="R178" s="61" t="s">
        <v>589</v>
      </c>
      <c r="S178" s="61" t="s">
        <v>624</v>
      </c>
      <c r="T178" s="62">
        <v>0.2</v>
      </c>
      <c r="U178" s="70" t="s">
        <v>625</v>
      </c>
      <c r="V178" s="70">
        <v>1.4445000000000001</v>
      </c>
      <c r="W178" s="61">
        <v>7</v>
      </c>
      <c r="X178" s="125">
        <v>31</v>
      </c>
      <c r="Y178" s="61">
        <v>20</v>
      </c>
      <c r="Z178" s="126">
        <v>35</v>
      </c>
      <c r="AA178" s="121">
        <v>25</v>
      </c>
      <c r="AD178" s="61" t="s">
        <v>592</v>
      </c>
      <c r="AG178" s="76" t="s">
        <v>593</v>
      </c>
      <c r="AJ178" s="61">
        <v>4</v>
      </c>
      <c r="AK178" s="61" t="s">
        <v>601</v>
      </c>
      <c r="AM178" s="1" t="s">
        <v>595</v>
      </c>
      <c r="AN178" s="11">
        <v>-40</v>
      </c>
      <c r="AO178" s="11">
        <v>130</v>
      </c>
      <c r="AV178" s="61">
        <v>0.3</v>
      </c>
      <c r="AW178" s="61">
        <v>0.3</v>
      </c>
      <c r="AX178" s="61" t="s">
        <v>144</v>
      </c>
      <c r="AY178" s="61">
        <v>17</v>
      </c>
      <c r="AZ178" s="122" t="s">
        <v>626</v>
      </c>
    </row>
    <row r="179" spans="4:52">
      <c r="D179" s="1" t="s">
        <v>607</v>
      </c>
      <c r="E179" s="58"/>
      <c r="F179" s="1" t="s">
        <v>357</v>
      </c>
      <c r="G179" s="1" t="s">
        <v>112</v>
      </c>
      <c r="H179" s="1" t="s">
        <v>113</v>
      </c>
      <c r="I179" s="2" t="s">
        <v>114</v>
      </c>
      <c r="J179" s="1" t="s">
        <v>115</v>
      </c>
      <c r="K179" s="1" t="s">
        <v>585</v>
      </c>
      <c r="L179" s="1"/>
      <c r="N179" s="1" t="s">
        <v>586</v>
      </c>
      <c r="O179" s="59" t="s">
        <v>627</v>
      </c>
      <c r="P179" s="60" t="s">
        <v>623</v>
      </c>
      <c r="Q179" s="61">
        <v>0.36</v>
      </c>
      <c r="R179" s="61" t="s">
        <v>589</v>
      </c>
      <c r="S179" s="61" t="s">
        <v>610</v>
      </c>
      <c r="T179" s="62">
        <v>0.2</v>
      </c>
      <c r="U179" s="70" t="s">
        <v>628</v>
      </c>
      <c r="V179" s="70">
        <v>0.79800000000000004</v>
      </c>
      <c r="W179" s="61">
        <v>5</v>
      </c>
      <c r="X179" s="125">
        <v>40</v>
      </c>
      <c r="Y179" s="61">
        <v>30</v>
      </c>
      <c r="Z179" s="121">
        <v>46</v>
      </c>
      <c r="AA179" s="121">
        <v>35</v>
      </c>
      <c r="AD179" s="61" t="s">
        <v>605</v>
      </c>
      <c r="AG179" s="76" t="s">
        <v>121</v>
      </c>
      <c r="AJ179" s="61">
        <v>4</v>
      </c>
      <c r="AK179" s="61" t="s">
        <v>601</v>
      </c>
      <c r="AM179" s="1" t="s">
        <v>595</v>
      </c>
      <c r="AN179" s="11">
        <v>-40</v>
      </c>
      <c r="AO179" s="11">
        <v>130</v>
      </c>
      <c r="AV179" s="61">
        <v>0.28999999999999998</v>
      </c>
      <c r="AW179" s="61">
        <v>0.28999999999999998</v>
      </c>
      <c r="AX179" s="61" t="s">
        <v>144</v>
      </c>
      <c r="AY179" s="61">
        <v>25</v>
      </c>
      <c r="AZ179" s="122" t="s">
        <v>629</v>
      </c>
    </row>
    <row r="180" spans="4:52">
      <c r="D180" s="1" t="s">
        <v>607</v>
      </c>
      <c r="E180" s="58"/>
      <c r="F180" s="1" t="s">
        <v>357</v>
      </c>
      <c r="G180" s="1" t="s">
        <v>112</v>
      </c>
      <c r="H180" s="1" t="s">
        <v>113</v>
      </c>
      <c r="I180" s="2" t="s">
        <v>114</v>
      </c>
      <c r="J180" s="1" t="s">
        <v>115</v>
      </c>
      <c r="K180" s="1" t="s">
        <v>585</v>
      </c>
      <c r="L180" s="1"/>
      <c r="N180" s="1" t="s">
        <v>586</v>
      </c>
      <c r="O180" s="59" t="s">
        <v>630</v>
      </c>
      <c r="P180" s="60" t="s">
        <v>623</v>
      </c>
      <c r="Q180" s="61">
        <v>0.37</v>
      </c>
      <c r="R180" s="61" t="s">
        <v>589</v>
      </c>
      <c r="S180" s="61" t="s">
        <v>610</v>
      </c>
      <c r="T180" s="62">
        <v>0.2</v>
      </c>
      <c r="U180" s="70" t="s">
        <v>631</v>
      </c>
      <c r="V180" s="70">
        <v>1.1550000000000002</v>
      </c>
      <c r="W180" s="61">
        <v>5</v>
      </c>
      <c r="X180" s="125">
        <v>33</v>
      </c>
      <c r="Y180" s="61">
        <v>24</v>
      </c>
      <c r="Z180" s="121">
        <v>50</v>
      </c>
      <c r="AA180" s="121">
        <v>34</v>
      </c>
      <c r="AD180" s="61" t="s">
        <v>612</v>
      </c>
      <c r="AG180" s="76" t="s">
        <v>121</v>
      </c>
      <c r="AJ180" s="61">
        <v>4</v>
      </c>
      <c r="AK180" s="61" t="s">
        <v>601</v>
      </c>
      <c r="AM180" s="1" t="s">
        <v>595</v>
      </c>
      <c r="AN180" s="11">
        <v>-40</v>
      </c>
      <c r="AO180" s="11">
        <v>130</v>
      </c>
      <c r="AV180" s="61">
        <v>0.36</v>
      </c>
      <c r="AW180" s="61">
        <v>0.36</v>
      </c>
      <c r="AX180" s="61"/>
      <c r="AY180" s="61"/>
      <c r="AZ180" s="122" t="s">
        <v>632</v>
      </c>
    </row>
    <row r="181" spans="4:52">
      <c r="D181" s="1" t="s">
        <v>607</v>
      </c>
      <c r="E181" s="58"/>
      <c r="F181" s="1" t="s">
        <v>357</v>
      </c>
      <c r="G181" s="1" t="s">
        <v>112</v>
      </c>
      <c r="H181" s="1" t="s">
        <v>113</v>
      </c>
      <c r="I181" s="2" t="s">
        <v>114</v>
      </c>
      <c r="J181" s="1" t="s">
        <v>115</v>
      </c>
      <c r="K181" s="1" t="s">
        <v>585</v>
      </c>
      <c r="L181" s="1"/>
      <c r="N181" s="1" t="s">
        <v>586</v>
      </c>
      <c r="O181" s="59" t="s">
        <v>633</v>
      </c>
      <c r="P181" s="60" t="s">
        <v>634</v>
      </c>
      <c r="Q181" s="61">
        <v>0.42</v>
      </c>
      <c r="R181" s="61" t="s">
        <v>589</v>
      </c>
      <c r="S181" s="61" t="s">
        <v>635</v>
      </c>
      <c r="T181" s="62">
        <v>0.2</v>
      </c>
      <c r="U181" s="70" t="s">
        <v>636</v>
      </c>
      <c r="V181" s="70">
        <v>1.605</v>
      </c>
      <c r="W181" s="61">
        <v>7</v>
      </c>
      <c r="X181" s="125">
        <v>28.5</v>
      </c>
      <c r="Y181" s="61">
        <v>17</v>
      </c>
      <c r="Z181" s="121">
        <v>26</v>
      </c>
      <c r="AA181" s="121">
        <v>20</v>
      </c>
      <c r="AD181" s="61" t="s">
        <v>592</v>
      </c>
      <c r="AG181" s="76" t="s">
        <v>593</v>
      </c>
      <c r="AJ181" s="61">
        <v>4</v>
      </c>
      <c r="AK181" s="61" t="s">
        <v>601</v>
      </c>
      <c r="AM181" s="1" t="s">
        <v>595</v>
      </c>
      <c r="AN181" s="11">
        <v>-40</v>
      </c>
      <c r="AO181" s="11">
        <v>130</v>
      </c>
      <c r="AV181" s="61">
        <v>0.35</v>
      </c>
      <c r="AW181" s="61">
        <v>0.35</v>
      </c>
      <c r="AX181" s="62">
        <v>0.2</v>
      </c>
      <c r="AY181" s="61">
        <v>15</v>
      </c>
      <c r="AZ181" s="122" t="s">
        <v>637</v>
      </c>
    </row>
    <row r="182" spans="4:52">
      <c r="D182" s="1" t="s">
        <v>607</v>
      </c>
      <c r="E182" s="58"/>
      <c r="F182" s="1" t="s">
        <v>357</v>
      </c>
      <c r="G182" s="1" t="s">
        <v>112</v>
      </c>
      <c r="H182" s="1" t="s">
        <v>113</v>
      </c>
      <c r="I182" s="2" t="s">
        <v>114</v>
      </c>
      <c r="J182" s="1" t="s">
        <v>115</v>
      </c>
      <c r="K182" s="1" t="s">
        <v>585</v>
      </c>
      <c r="L182" s="1"/>
      <c r="N182" s="1" t="s">
        <v>586</v>
      </c>
      <c r="O182" s="59" t="s">
        <v>638</v>
      </c>
      <c r="P182" s="60" t="s">
        <v>639</v>
      </c>
      <c r="Q182" s="61">
        <v>0.45</v>
      </c>
      <c r="R182" s="61" t="s">
        <v>589</v>
      </c>
      <c r="S182" s="61" t="s">
        <v>599</v>
      </c>
      <c r="T182" s="111" t="s">
        <v>640</v>
      </c>
      <c r="U182" s="70" t="s">
        <v>631</v>
      </c>
      <c r="V182" s="70">
        <v>1.1550000000000002</v>
      </c>
      <c r="W182" s="61">
        <v>5</v>
      </c>
      <c r="X182" s="125">
        <v>33</v>
      </c>
      <c r="Y182" s="61">
        <v>25</v>
      </c>
      <c r="Z182" s="121">
        <v>40</v>
      </c>
      <c r="AA182" s="121">
        <v>28</v>
      </c>
      <c r="AD182" s="61" t="s">
        <v>612</v>
      </c>
      <c r="AG182" s="76" t="s">
        <v>121</v>
      </c>
      <c r="AJ182" s="61">
        <v>4</v>
      </c>
      <c r="AK182" s="61" t="s">
        <v>601</v>
      </c>
      <c r="AM182" s="1" t="s">
        <v>595</v>
      </c>
      <c r="AN182" s="11">
        <v>-40</v>
      </c>
      <c r="AO182" s="11">
        <v>130</v>
      </c>
      <c r="AV182" s="61">
        <v>0.34</v>
      </c>
      <c r="AW182" s="61">
        <v>0.34</v>
      </c>
      <c r="AX182" s="62"/>
      <c r="AY182" s="61"/>
      <c r="AZ182" s="122" t="s">
        <v>641</v>
      </c>
    </row>
    <row r="183" spans="4:52">
      <c r="E183" s="58"/>
      <c r="F183" s="1" t="s">
        <v>642</v>
      </c>
      <c r="G183" s="1" t="s">
        <v>112</v>
      </c>
      <c r="H183" s="1" t="s">
        <v>113</v>
      </c>
      <c r="I183" s="2" t="s">
        <v>114</v>
      </c>
      <c r="J183" s="1" t="s">
        <v>115</v>
      </c>
      <c r="K183" s="1" t="s">
        <v>585</v>
      </c>
      <c r="L183" s="1"/>
      <c r="N183" s="1" t="s">
        <v>586</v>
      </c>
      <c r="O183" s="59" t="s">
        <v>643</v>
      </c>
      <c r="P183" s="60"/>
      <c r="Q183" s="61">
        <v>0.5</v>
      </c>
      <c r="R183" s="61"/>
      <c r="S183" s="61"/>
      <c r="T183" s="62">
        <v>0.2</v>
      </c>
      <c r="U183" s="70" t="s">
        <v>644</v>
      </c>
      <c r="V183" s="70">
        <v>0.86</v>
      </c>
      <c r="W183" s="61">
        <v>7</v>
      </c>
      <c r="X183" s="125" t="s">
        <v>122</v>
      </c>
      <c r="Y183" s="61">
        <v>30</v>
      </c>
      <c r="Z183" s="121" t="s">
        <v>122</v>
      </c>
      <c r="AA183" s="121" t="s">
        <v>645</v>
      </c>
      <c r="AD183" s="61" t="s">
        <v>646</v>
      </c>
      <c r="AG183" s="76"/>
      <c r="AJ183" s="61">
        <v>4</v>
      </c>
      <c r="AK183" s="61" t="s">
        <v>601</v>
      </c>
      <c r="AM183" s="1" t="s">
        <v>595</v>
      </c>
      <c r="AN183" s="11"/>
      <c r="AO183" s="11"/>
      <c r="AV183" s="61"/>
      <c r="AW183" s="61"/>
      <c r="AX183" s="61" t="s">
        <v>144</v>
      </c>
      <c r="AY183" s="61">
        <v>21</v>
      </c>
      <c r="AZ183" s="122" t="s">
        <v>647</v>
      </c>
    </row>
    <row r="184" spans="4:52">
      <c r="D184" s="1" t="s">
        <v>607</v>
      </c>
      <c r="E184" s="58"/>
      <c r="F184" s="1" t="s">
        <v>357</v>
      </c>
      <c r="G184" s="1" t="s">
        <v>112</v>
      </c>
      <c r="H184" s="1" t="s">
        <v>113</v>
      </c>
      <c r="I184" s="2" t="s">
        <v>114</v>
      </c>
      <c r="J184" s="1" t="s">
        <v>115</v>
      </c>
      <c r="K184" s="1" t="s">
        <v>585</v>
      </c>
      <c r="L184" s="1"/>
      <c r="N184" s="1" t="s">
        <v>586</v>
      </c>
      <c r="O184" s="59" t="s">
        <v>648</v>
      </c>
      <c r="P184" s="60" t="s">
        <v>649</v>
      </c>
      <c r="Q184" s="61">
        <v>0.6</v>
      </c>
      <c r="R184" s="61" t="s">
        <v>589</v>
      </c>
      <c r="S184" s="61" t="s">
        <v>599</v>
      </c>
      <c r="T184" s="62">
        <v>0.2</v>
      </c>
      <c r="U184" s="70" t="s">
        <v>650</v>
      </c>
      <c r="V184" s="70">
        <v>1.6380000000000001</v>
      </c>
      <c r="W184" s="61">
        <v>5</v>
      </c>
      <c r="X184" s="125">
        <v>28</v>
      </c>
      <c r="Y184" s="61">
        <v>21</v>
      </c>
      <c r="Z184" s="121">
        <v>42</v>
      </c>
      <c r="AA184" s="121">
        <v>28</v>
      </c>
      <c r="AD184" s="61" t="s">
        <v>612</v>
      </c>
      <c r="AG184" s="76" t="s">
        <v>121</v>
      </c>
      <c r="AJ184" s="61">
        <v>4</v>
      </c>
      <c r="AK184" s="61" t="s">
        <v>601</v>
      </c>
      <c r="AM184" s="1" t="s">
        <v>595</v>
      </c>
      <c r="AN184" s="11">
        <v>-40</v>
      </c>
      <c r="AO184" s="11">
        <v>130</v>
      </c>
      <c r="AV184" s="61">
        <v>0.56000000000000005</v>
      </c>
      <c r="AW184" s="61">
        <v>0.56000000000000005</v>
      </c>
    </row>
    <row r="185" spans="4:52">
      <c r="E185" s="58"/>
      <c r="F185" s="1" t="s">
        <v>642</v>
      </c>
      <c r="G185" s="1" t="s">
        <v>112</v>
      </c>
      <c r="H185" s="1" t="s">
        <v>113</v>
      </c>
      <c r="I185" s="2" t="s">
        <v>114</v>
      </c>
      <c r="J185" s="1" t="s">
        <v>115</v>
      </c>
      <c r="K185" s="1" t="s">
        <v>585</v>
      </c>
      <c r="L185" s="1"/>
      <c r="N185" s="1" t="s">
        <v>586</v>
      </c>
      <c r="O185" s="59" t="s">
        <v>651</v>
      </c>
      <c r="P185" s="60"/>
      <c r="Q185" s="61">
        <v>0.6</v>
      </c>
      <c r="R185" s="61"/>
      <c r="S185" s="61"/>
      <c r="T185" s="62">
        <v>0.2</v>
      </c>
      <c r="U185" s="70" t="s">
        <v>652</v>
      </c>
      <c r="V185" s="70">
        <v>1.1599999999999999</v>
      </c>
      <c r="W185" s="61">
        <v>5</v>
      </c>
      <c r="X185" s="125" t="s">
        <v>122</v>
      </c>
      <c r="Y185" s="61">
        <v>30</v>
      </c>
      <c r="Z185" s="121" t="s">
        <v>122</v>
      </c>
      <c r="AA185" s="121" t="s">
        <v>653</v>
      </c>
      <c r="AD185" s="61" t="s">
        <v>646</v>
      </c>
      <c r="AG185" s="76"/>
      <c r="AJ185" s="61">
        <v>4</v>
      </c>
      <c r="AK185" s="61" t="s">
        <v>601</v>
      </c>
      <c r="AM185" s="1" t="s">
        <v>595</v>
      </c>
      <c r="AN185" s="11"/>
      <c r="AO185" s="11"/>
      <c r="AV185" s="61"/>
      <c r="AW185" s="61"/>
    </row>
    <row r="186" spans="4:52" ht="15">
      <c r="D186" s="1" t="s">
        <v>607</v>
      </c>
      <c r="E186" s="58"/>
      <c r="F186" s="1" t="s">
        <v>357</v>
      </c>
      <c r="G186" s="1" t="s">
        <v>112</v>
      </c>
      <c r="H186" s="1" t="s">
        <v>113</v>
      </c>
      <c r="I186" s="2" t="s">
        <v>114</v>
      </c>
      <c r="J186" s="1" t="s">
        <v>115</v>
      </c>
      <c r="K186" s="1" t="s">
        <v>585</v>
      </c>
      <c r="L186" s="1"/>
      <c r="N186" s="1" t="s">
        <v>586</v>
      </c>
      <c r="O186" s="59" t="s">
        <v>654</v>
      </c>
      <c r="P186" s="60" t="s">
        <v>655</v>
      </c>
      <c r="Q186" s="61">
        <v>0.68</v>
      </c>
      <c r="R186" s="61" t="s">
        <v>589</v>
      </c>
      <c r="S186" s="61" t="s">
        <v>610</v>
      </c>
      <c r="T186" s="62">
        <v>0.2</v>
      </c>
      <c r="U186" s="70" t="s">
        <v>656</v>
      </c>
      <c r="V186" s="70">
        <v>1.6590000000000003</v>
      </c>
      <c r="W186" s="61">
        <v>5</v>
      </c>
      <c r="X186" s="125">
        <v>28</v>
      </c>
      <c r="Y186" s="61">
        <v>21</v>
      </c>
      <c r="Z186" s="127">
        <v>35</v>
      </c>
      <c r="AA186" s="127">
        <v>26</v>
      </c>
      <c r="AD186" s="61" t="s">
        <v>605</v>
      </c>
      <c r="AG186" s="76" t="s">
        <v>121</v>
      </c>
      <c r="AJ186" s="61">
        <v>4</v>
      </c>
      <c r="AK186" s="61" t="s">
        <v>601</v>
      </c>
      <c r="AM186" s="1" t="s">
        <v>595</v>
      </c>
      <c r="AN186" s="11">
        <v>-40</v>
      </c>
      <c r="AO186" s="11">
        <v>130</v>
      </c>
      <c r="AV186" s="61">
        <v>0.59</v>
      </c>
      <c r="AW186" s="61">
        <v>0.59</v>
      </c>
    </row>
    <row r="187" spans="4:52">
      <c r="I187" s="1"/>
      <c r="J187" s="2"/>
      <c r="K187" s="1"/>
      <c r="M187"/>
      <c r="P187" s="1"/>
      <c r="R187" s="2"/>
      <c r="Y187" s="1"/>
    </row>
  </sheetData>
  <conditionalFormatting sqref="BZ1 CC1:CC8">
    <cfRule type="containsText" dxfId="53" priority="3" operator="containsText" text="NRND">
      <formula>NOT(ISERROR(SEARCH("NRND",BZ1)))</formula>
    </cfRule>
    <cfRule type="containsText" dxfId="52" priority="4" operator="containsText" text="EOL">
      <formula>NOT(ISERROR(SEARCH("EOL",BZ1)))</formula>
    </cfRule>
  </conditionalFormatting>
  <conditionalFormatting sqref="O1:O1048576">
    <cfRule type="duplicateValues" dxfId="51" priority="2"/>
  </conditionalFormatting>
  <conditionalFormatting sqref="BP10">
    <cfRule type="colorScale" priority="1">
      <colorScale>
        <cfvo type="min"/>
        <cfvo type="max"/>
        <color rgb="FFFCFCFF"/>
        <color rgb="FFF8696B"/>
      </colorScale>
    </cfRule>
  </conditionalFormatting>
  <dataValidations count="1">
    <dataValidation type="list" allowBlank="1" showInputMessage="1" sqref="CA8" xr:uid="{8C966BA2-7E21-44DD-9B53-F0A72450CB27}">
      <formula1>"5,12,24,48,60"</formula1>
    </dataValidation>
  </dataValidations>
  <hyperlinks>
    <hyperlink ref="AT11" r:id="rId1" xr:uid="{9A6FBFE1-C79D-4AAB-A0EC-FA1B31BAC852}"/>
    <hyperlink ref="AZ171" r:id="rId2" xr:uid="{AA5A7CE1-0A20-4E00-A92C-F9CAEB9132FE}"/>
    <hyperlink ref="AZ170" r:id="rId3" xr:uid="{9902A0FE-0C1C-408A-AD47-AB6E89E5F71F}"/>
    <hyperlink ref="AZ169" r:id="rId4" xr:uid="{5BA4CA8B-9AD2-496C-950E-8AFB5CD5A524}"/>
    <hyperlink ref="AZ183" r:id="rId5" xr:uid="{263BC579-BA63-4683-9AC1-2CAF3B3F503E}"/>
    <hyperlink ref="AZ181" r:id="rId6" xr:uid="{C8EB8DCA-01C8-401E-AAA2-DFDF232E91CD}"/>
    <hyperlink ref="AZ179" r:id="rId7" xr:uid="{70541AEF-ACCC-4222-ABC2-F0041EC237D7}"/>
    <hyperlink ref="AZ178" r:id="rId8" xr:uid="{5FAED335-9010-4714-8CD1-ADF4B149D75B}"/>
    <hyperlink ref="AZ177" r:id="rId9" xr:uid="{BE764CC7-9E58-481E-8CCE-94C427CC9EBB}"/>
    <hyperlink ref="AZ176" r:id="rId10" xr:uid="{F5FEB7FA-4ACD-42A8-8E31-82B41AEA9835}"/>
    <hyperlink ref="AZ175" r:id="rId11" xr:uid="{E218DAD3-53FA-47C1-BF24-E5709A40CE7F}"/>
    <hyperlink ref="AZ174" r:id="rId12" xr:uid="{6FA83D54-7D2C-4EA7-8F40-3EB63499D531}"/>
    <hyperlink ref="AZ173" r:id="rId13" xr:uid="{A5D39D66-B4C3-4A4D-82A0-035F3F8C40DE}"/>
    <hyperlink ref="AZ172" r:id="rId14" xr:uid="{06093282-754E-4CE6-B9E1-0EEED32982D2}"/>
  </hyperlinks>
  <pageMargins left="0.7" right="0.7" top="0.75" bottom="0.75" header="0.3" footer="0.3"/>
  <pageSetup paperSize="9" orientation="portrait" r:id="rId15"/>
  <drawing r:id="rId16"/>
  <legacyDrawing r:id="rId17"/>
  <tableParts count="1">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Hasan</dc:creator>
  <cp:lastModifiedBy>Samuel Hasan</cp:lastModifiedBy>
  <dcterms:created xsi:type="dcterms:W3CDTF">2026-03-05T21:19:09Z</dcterms:created>
  <dcterms:modified xsi:type="dcterms:W3CDTF">2026-03-05T21:20:52Z</dcterms:modified>
</cp:coreProperties>
</file>